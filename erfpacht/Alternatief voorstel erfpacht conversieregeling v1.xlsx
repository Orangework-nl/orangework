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48" windowWidth="19140" windowHeight="11640"/>
  </bookViews>
  <sheets>
    <sheet name="Voorbeeld berekeningen" sheetId="7" r:id="rId1"/>
  </sheets>
  <calcPr calcId="145621"/>
</workbook>
</file>

<file path=xl/calcChain.xml><?xml version="1.0" encoding="utf-8"?>
<calcChain xmlns="http://schemas.openxmlformats.org/spreadsheetml/2006/main">
  <c r="L19" i="7" l="1"/>
  <c r="R59" i="7"/>
  <c r="Q59" i="7" s="1"/>
  <c r="K19" i="7"/>
  <c r="K6" i="7" s="1"/>
  <c r="F59" i="7"/>
  <c r="L59" i="7" s="1"/>
  <c r="K59" i="7" s="1"/>
  <c r="K7" i="7" s="1"/>
  <c r="F19" i="7"/>
  <c r="D6" i="7" s="1"/>
  <c r="J6" i="7" s="1"/>
  <c r="R19" i="7"/>
  <c r="P6" i="7" s="1"/>
  <c r="P19" i="7"/>
  <c r="P20" i="7" s="1"/>
  <c r="P21" i="7" s="1"/>
  <c r="P22" i="7" s="1"/>
  <c r="P23" i="7" s="1"/>
  <c r="P24" i="7" s="1"/>
  <c r="P25" i="7" s="1"/>
  <c r="P26" i="7" s="1"/>
  <c r="P27" i="7" s="1"/>
  <c r="P28" i="7" s="1"/>
  <c r="P29" i="7" s="1"/>
  <c r="P30" i="7" s="1"/>
  <c r="P31" i="7" s="1"/>
  <c r="P32" i="7" s="1"/>
  <c r="P33" i="7" s="1"/>
  <c r="P34" i="7" s="1"/>
  <c r="P35" i="7" s="1"/>
  <c r="P36" i="7" s="1"/>
  <c r="P37" i="7" s="1"/>
  <c r="P38" i="7" s="1"/>
  <c r="P39" i="7" s="1"/>
  <c r="P40" i="7" s="1"/>
  <c r="P41" i="7" s="1"/>
  <c r="P42" i="7" s="1"/>
  <c r="P43" i="7" s="1"/>
  <c r="P44" i="7" s="1"/>
  <c r="P45" i="7" s="1"/>
  <c r="P46" i="7" s="1"/>
  <c r="P47" i="7" s="1"/>
  <c r="P48" i="7" s="1"/>
  <c r="P49" i="7" s="1"/>
  <c r="P50" i="7" s="1"/>
  <c r="P51" i="7" s="1"/>
  <c r="P52" i="7" s="1"/>
  <c r="P53" i="7" s="1"/>
  <c r="P54" i="7" s="1"/>
  <c r="P55" i="7" s="1"/>
  <c r="P56" i="7" s="1"/>
  <c r="P57" i="7" s="1"/>
  <c r="P58" i="7" s="1"/>
  <c r="P59" i="7" s="1"/>
  <c r="P7" i="7"/>
  <c r="Q6" i="7"/>
  <c r="I8" i="7"/>
  <c r="D7" i="7"/>
  <c r="J7" i="7" s="1"/>
  <c r="E6" i="7"/>
  <c r="D19" i="7"/>
  <c r="F6" i="7" s="1"/>
  <c r="D20" i="7" l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F8" i="7" s="1"/>
  <c r="F23" i="7"/>
  <c r="L23" i="7" s="1"/>
  <c r="I19" i="7"/>
  <c r="I20" i="7" s="1"/>
  <c r="I21" i="7" s="1"/>
  <c r="I22" i="7" s="1"/>
  <c r="I23" i="7" s="1"/>
  <c r="I24" i="7" s="1"/>
  <c r="I25" i="7" s="1"/>
  <c r="I26" i="7" s="1"/>
  <c r="R6" i="7"/>
  <c r="F27" i="7"/>
  <c r="L27" i="7" s="1"/>
  <c r="F69" i="7"/>
  <c r="R69" i="7" s="1"/>
  <c r="F77" i="7"/>
  <c r="L77" i="7" s="1"/>
  <c r="K77" i="7" s="1"/>
  <c r="K8" i="7" s="1"/>
  <c r="R7" i="7"/>
  <c r="P60" i="7"/>
  <c r="P61" i="7" s="1"/>
  <c r="P62" i="7" s="1"/>
  <c r="P63" i="7" s="1"/>
  <c r="P64" i="7" s="1"/>
  <c r="P65" i="7" s="1"/>
  <c r="P66" i="7" s="1"/>
  <c r="P67" i="7" s="1"/>
  <c r="P68" i="7" s="1"/>
  <c r="P69" i="7" s="1"/>
  <c r="R8" i="7" s="1"/>
  <c r="Q61" i="7"/>
  <c r="Q65" i="7"/>
  <c r="Q60" i="7"/>
  <c r="Q50" i="7"/>
  <c r="Q54" i="7"/>
  <c r="Q58" i="7"/>
  <c r="Q23" i="7"/>
  <c r="Q27" i="7"/>
  <c r="Q31" i="7"/>
  <c r="Q35" i="7"/>
  <c r="Q39" i="7"/>
  <c r="Q43" i="7"/>
  <c r="Q62" i="7"/>
  <c r="Q66" i="7"/>
  <c r="Q47" i="7"/>
  <c r="Q51" i="7"/>
  <c r="Q55" i="7"/>
  <c r="Q46" i="7"/>
  <c r="Q24" i="7"/>
  <c r="Q28" i="7"/>
  <c r="Q32" i="7"/>
  <c r="Q36" i="7"/>
  <c r="Q40" i="7"/>
  <c r="Q44" i="7"/>
  <c r="Q7" i="7"/>
  <c r="Q45" i="7"/>
  <c r="R45" i="7" s="1"/>
  <c r="Q63" i="7"/>
  <c r="Q67" i="7"/>
  <c r="Q48" i="7"/>
  <c r="Q52" i="7"/>
  <c r="Q56" i="7"/>
  <c r="Q21" i="7"/>
  <c r="Q25" i="7"/>
  <c r="Q29" i="7"/>
  <c r="Q33" i="7"/>
  <c r="Q37" i="7"/>
  <c r="Q41" i="7"/>
  <c r="Q20" i="7"/>
  <c r="Q64" i="7"/>
  <c r="Q68" i="7"/>
  <c r="Q49" i="7"/>
  <c r="Q53" i="7"/>
  <c r="Q57" i="7"/>
  <c r="Q22" i="7"/>
  <c r="Q26" i="7"/>
  <c r="Q30" i="7"/>
  <c r="Q34" i="7"/>
  <c r="Q38" i="7"/>
  <c r="Q42" i="7"/>
  <c r="K62" i="7"/>
  <c r="K66" i="7"/>
  <c r="K70" i="7"/>
  <c r="K74" i="7"/>
  <c r="K24" i="7"/>
  <c r="K28" i="7"/>
  <c r="K32" i="7"/>
  <c r="K36" i="7"/>
  <c r="K40" i="7"/>
  <c r="K44" i="7"/>
  <c r="K48" i="7"/>
  <c r="K52" i="7"/>
  <c r="K56" i="7"/>
  <c r="K22" i="7"/>
  <c r="K75" i="7"/>
  <c r="K25" i="7"/>
  <c r="K29" i="7"/>
  <c r="K33" i="7"/>
  <c r="K37" i="7"/>
  <c r="K41" i="7"/>
  <c r="K45" i="7"/>
  <c r="K49" i="7"/>
  <c r="K53" i="7"/>
  <c r="K57" i="7"/>
  <c r="K23" i="7"/>
  <c r="K64" i="7"/>
  <c r="K68" i="7"/>
  <c r="K72" i="7"/>
  <c r="K76" i="7"/>
  <c r="K26" i="7"/>
  <c r="K30" i="7"/>
  <c r="K34" i="7"/>
  <c r="K38" i="7"/>
  <c r="K42" i="7"/>
  <c r="K46" i="7"/>
  <c r="K50" i="7"/>
  <c r="K54" i="7"/>
  <c r="K58" i="7"/>
  <c r="K20" i="7"/>
  <c r="K61" i="7"/>
  <c r="K65" i="7"/>
  <c r="K69" i="7"/>
  <c r="K73" i="7"/>
  <c r="K60" i="7"/>
  <c r="K27" i="7"/>
  <c r="K31" i="7"/>
  <c r="K35" i="7"/>
  <c r="K39" i="7"/>
  <c r="K43" i="7"/>
  <c r="K47" i="7"/>
  <c r="K51" i="7"/>
  <c r="K55" i="7"/>
  <c r="K21" i="7"/>
  <c r="K63" i="7"/>
  <c r="E59" i="7"/>
  <c r="K71" i="7"/>
  <c r="K67" i="7"/>
  <c r="R77" i="7" l="1"/>
  <c r="J19" i="7"/>
  <c r="L6" i="7" s="1"/>
  <c r="F7" i="7"/>
  <c r="J8" i="7"/>
  <c r="E69" i="7"/>
  <c r="E8" i="7" s="1"/>
  <c r="D8" i="7"/>
  <c r="P8" i="7"/>
  <c r="Q69" i="7"/>
  <c r="Q8" i="7" s="1"/>
  <c r="E61" i="7"/>
  <c r="E62" i="7"/>
  <c r="E66" i="7"/>
  <c r="E28" i="7"/>
  <c r="E32" i="7"/>
  <c r="E36" i="7"/>
  <c r="E40" i="7"/>
  <c r="E44" i="7"/>
  <c r="E48" i="7"/>
  <c r="E52" i="7"/>
  <c r="E56" i="7"/>
  <c r="E24" i="7"/>
  <c r="E20" i="7"/>
  <c r="E63" i="7"/>
  <c r="E64" i="7"/>
  <c r="E68" i="7"/>
  <c r="E30" i="7"/>
  <c r="E34" i="7"/>
  <c r="E38" i="7"/>
  <c r="E42" i="7"/>
  <c r="E46" i="7"/>
  <c r="E50" i="7"/>
  <c r="E54" i="7"/>
  <c r="E58" i="7"/>
  <c r="E26" i="7"/>
  <c r="E22" i="7"/>
  <c r="E41" i="7"/>
  <c r="E60" i="7"/>
  <c r="E35" i="7"/>
  <c r="E43" i="7"/>
  <c r="E51" i="7"/>
  <c r="E23" i="7"/>
  <c r="E29" i="7"/>
  <c r="E37" i="7"/>
  <c r="E65" i="7"/>
  <c r="E31" i="7"/>
  <c r="E39" i="7"/>
  <c r="E47" i="7"/>
  <c r="E55" i="7"/>
  <c r="E27" i="7"/>
  <c r="E67" i="7"/>
  <c r="E33" i="7"/>
  <c r="E49" i="7"/>
  <c r="E57" i="7"/>
  <c r="E21" i="7"/>
  <c r="E53" i="7"/>
  <c r="E25" i="7"/>
  <c r="E7" i="7"/>
  <c r="E45" i="7"/>
  <c r="J20" i="7" l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J41" i="7" s="1"/>
  <c r="J42" i="7" s="1"/>
  <c r="J43" i="7" s="1"/>
  <c r="J44" i="7" s="1"/>
  <c r="J45" i="7" s="1"/>
  <c r="J46" i="7" s="1"/>
  <c r="J47" i="7" s="1"/>
  <c r="J48" i="7" s="1"/>
  <c r="J49" i="7" s="1"/>
  <c r="J50" i="7" s="1"/>
  <c r="J51" i="7" s="1"/>
  <c r="J52" i="7" s="1"/>
  <c r="J53" i="7" s="1"/>
  <c r="J54" i="7" s="1"/>
  <c r="J55" i="7" s="1"/>
  <c r="J56" i="7" s="1"/>
  <c r="J57" i="7" s="1"/>
  <c r="J58" i="7" s="1"/>
  <c r="J59" i="7" s="1"/>
  <c r="L7" i="7" s="1"/>
  <c r="J60" i="7" l="1"/>
  <c r="J61" i="7" s="1"/>
  <c r="J62" i="7" s="1"/>
  <c r="J63" i="7" s="1"/>
  <c r="J64" i="7" s="1"/>
  <c r="J65" i="7" s="1"/>
  <c r="J66" i="7" s="1"/>
  <c r="J67" i="7" s="1"/>
  <c r="J68" i="7" s="1"/>
  <c r="J69" i="7" s="1"/>
  <c r="J70" i="7" s="1"/>
  <c r="J71" i="7" s="1"/>
  <c r="J72" i="7" s="1"/>
  <c r="J73" i="7" s="1"/>
  <c r="J74" i="7" s="1"/>
  <c r="J75" i="7" s="1"/>
  <c r="J76" i="7" s="1"/>
  <c r="J77" i="7" s="1"/>
  <c r="L8" i="7" s="1"/>
</calcChain>
</file>

<file path=xl/sharedStrings.xml><?xml version="1.0" encoding="utf-8"?>
<sst xmlns="http://schemas.openxmlformats.org/spreadsheetml/2006/main" count="102" uniqueCount="29">
  <si>
    <t>m2</t>
  </si>
  <si>
    <t>Grondwaarde</t>
  </si>
  <si>
    <t>cannon</t>
  </si>
  <si>
    <t>Betalingen</t>
  </si>
  <si>
    <t xml:space="preserve">Betalingen </t>
  </si>
  <si>
    <t>per m2</t>
  </si>
  <si>
    <t>/m2</t>
  </si>
  <si>
    <t>Oppervlakte</t>
  </si>
  <si>
    <t>extrapolatie grondprijs</t>
  </si>
  <si>
    <t>obv grondprijs 2016</t>
  </si>
  <si>
    <t>uitgifte</t>
  </si>
  <si>
    <t>nu</t>
  </si>
  <si>
    <t>Waarde betalingen</t>
  </si>
  <si>
    <t>m2 prijs</t>
  </si>
  <si>
    <t>Jaar</t>
  </si>
  <si>
    <t>Eeuwigdurend afgekocht in 2003</t>
  </si>
  <si>
    <t>50 jaar afgekocht in 1985</t>
  </si>
  <si>
    <t>Waarde</t>
  </si>
  <si>
    <t>Canon betaling</t>
  </si>
  <si>
    <t>Uitwerking berekening:</t>
  </si>
  <si>
    <t>Afgekocht</t>
  </si>
  <si>
    <t>Berekening waarde erfpacht betalingen sinds grond uitgifte t.o.v. grondwaarde</t>
  </si>
  <si>
    <t>50jaar afgek.</t>
  </si>
  <si>
    <t>einde tijdvak</t>
  </si>
  <si>
    <t>50 jaar afgekocht in 1985 t.w.v. 10.030 euro</t>
  </si>
  <si>
    <t>Eeuwigdurend afgekocht in 2003 t.w.v. 52.000 euro</t>
  </si>
  <si>
    <t xml:space="preserve">Rekenrente </t>
  </si>
  <si>
    <t>Cannon 1977</t>
  </si>
  <si>
    <t>Grondprijzenbrief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</si>
</sst>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_-* #,##0.00\-;_-* &quot;-&quot;??_-;_-@_-"/>
    <numFmt numFmtId="165" formatCode="_-* #,##0_-;_-* #,##0\-;_-* &quot;-&quot;??_-;_-@_-"/>
  </numFmts>
  <fonts count="1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</font>
    <font>
      <sz val="10"/>
      <color rgb="FFFF0000"/>
      <name val="Arial"/>
      <family val="2"/>
    </font>
    <font>
      <i/>
      <sz val="10"/>
      <name val="Arial"/>
      <family val="2"/>
    </font>
    <font>
      <sz val="10"/>
      <color rgb="FFFFC000"/>
      <name val="Arial"/>
      <family val="2"/>
    </font>
    <font>
      <sz val="14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60">
    <xf numFmtId="0" fontId="0" fillId="0" borderId="0" xfId="0"/>
    <xf numFmtId="10" fontId="0" fillId="0" borderId="0" xfId="0" applyNumberFormat="1"/>
    <xf numFmtId="165" fontId="0" fillId="0" borderId="0" xfId="1" applyNumberFormat="1" applyFont="1"/>
    <xf numFmtId="10" fontId="0" fillId="0" borderId="0" xfId="2" applyNumberFormat="1" applyFont="1"/>
    <xf numFmtId="165" fontId="0" fillId="0" borderId="0" xfId="0" applyNumberFormat="1"/>
    <xf numFmtId="0" fontId="2" fillId="0" borderId="0" xfId="0" applyFont="1"/>
    <xf numFmtId="0" fontId="3" fillId="0" borderId="0" xfId="0" applyFont="1"/>
    <xf numFmtId="165" fontId="3" fillId="0" borderId="0" xfId="1" applyNumberFormat="1" applyFont="1"/>
    <xf numFmtId="165" fontId="5" fillId="0" borderId="0" xfId="1" applyNumberFormat="1" applyFont="1"/>
    <xf numFmtId="165" fontId="5" fillId="0" borderId="0" xfId="0" applyNumberFormat="1" applyFont="1"/>
    <xf numFmtId="0" fontId="6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165" fontId="0" fillId="0" borderId="0" xfId="0" applyNumberFormat="1" applyAlignment="1">
      <alignment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1" fontId="7" fillId="0" borderId="0" xfId="0" applyNumberFormat="1" applyFont="1"/>
    <xf numFmtId="0" fontId="0" fillId="2" borderId="0" xfId="0" applyFill="1"/>
    <xf numFmtId="0" fontId="3" fillId="2" borderId="0" xfId="0" applyFont="1" applyFill="1"/>
    <xf numFmtId="0" fontId="0" fillId="2" borderId="1" xfId="0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0" fontId="0" fillId="2" borderId="1" xfId="0" applyFill="1" applyBorder="1" applyAlignment="1">
      <alignment vertical="top" wrapText="1"/>
    </xf>
    <xf numFmtId="165" fontId="0" fillId="2" borderId="1" xfId="1" applyNumberFormat="1" applyFont="1" applyFill="1" applyBorder="1" applyAlignment="1">
      <alignment vertical="top" wrapText="1"/>
    </xf>
    <xf numFmtId="0" fontId="0" fillId="2" borderId="3" xfId="0" applyFill="1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2" xfId="0" applyFill="1" applyBorder="1"/>
    <xf numFmtId="0" fontId="3" fillId="2" borderId="2" xfId="0" applyFont="1" applyFill="1" applyBorder="1" applyAlignment="1">
      <alignment horizontal="right" vertical="top" wrapText="1"/>
    </xf>
    <xf numFmtId="165" fontId="0" fillId="2" borderId="2" xfId="0" applyNumberFormat="1" applyFill="1" applyBorder="1" applyAlignment="1">
      <alignment vertical="top" wrapText="1"/>
    </xf>
    <xf numFmtId="0" fontId="0" fillId="0" borderId="2" xfId="0" applyBorder="1"/>
    <xf numFmtId="0" fontId="6" fillId="0" borderId="2" xfId="0" applyFont="1" applyBorder="1"/>
    <xf numFmtId="0" fontId="3" fillId="0" borderId="2" xfId="0" applyFont="1" applyBorder="1"/>
    <xf numFmtId="9" fontId="0" fillId="0" borderId="2" xfId="0" applyNumberFormat="1" applyBorder="1"/>
    <xf numFmtId="0" fontId="8" fillId="2" borderId="0" xfId="0" applyFont="1" applyFill="1"/>
    <xf numFmtId="0" fontId="3" fillId="0" borderId="0" xfId="0" applyFont="1" applyBorder="1" applyAlignment="1">
      <alignment horizontal="right"/>
    </xf>
    <xf numFmtId="0" fontId="0" fillId="0" borderId="0" xfId="0" applyBorder="1"/>
    <xf numFmtId="0" fontId="0" fillId="2" borderId="0" xfId="0" applyFill="1" applyBorder="1"/>
    <xf numFmtId="165" fontId="3" fillId="0" borderId="0" xfId="1" applyNumberFormat="1" applyFont="1" applyBorder="1" applyAlignment="1">
      <alignment horizontal="right"/>
    </xf>
    <xf numFmtId="0" fontId="9" fillId="0" borderId="0" xfId="0" applyFont="1"/>
    <xf numFmtId="0" fontId="6" fillId="0" borderId="0" xfId="0" applyFont="1" applyAlignment="1">
      <alignment horizontal="right"/>
    </xf>
    <xf numFmtId="0" fontId="0" fillId="0" borderId="4" xfId="0" applyBorder="1"/>
    <xf numFmtId="0" fontId="3" fillId="0" borderId="4" xfId="0" applyFont="1" applyBorder="1"/>
    <xf numFmtId="0" fontId="6" fillId="0" borderId="4" xfId="0" applyFont="1" applyBorder="1"/>
    <xf numFmtId="0" fontId="3" fillId="0" borderId="4" xfId="0" applyFont="1" applyFill="1" applyBorder="1"/>
    <xf numFmtId="0" fontId="10" fillId="0" borderId="0" xfId="0" applyFont="1" applyBorder="1"/>
    <xf numFmtId="0" fontId="10" fillId="0" borderId="2" xfId="0" applyFont="1" applyBorder="1"/>
    <xf numFmtId="0" fontId="10" fillId="0" borderId="2" xfId="0" applyFont="1" applyBorder="1" applyAlignment="1">
      <alignment horizontal="right"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/>
    <xf numFmtId="0" fontId="10" fillId="0" borderId="2" xfId="0" applyFont="1" applyBorder="1" applyAlignment="1">
      <alignment horizontal="left"/>
    </xf>
    <xf numFmtId="165" fontId="6" fillId="0" borderId="0" xfId="1" applyNumberFormat="1" applyFont="1" applyAlignment="1">
      <alignment horizontal="right"/>
    </xf>
    <xf numFmtId="0" fontId="3" fillId="2" borderId="3" xfId="0" applyFont="1" applyFill="1" applyBorder="1" applyAlignment="1">
      <alignment vertical="top" wrapText="1"/>
    </xf>
    <xf numFmtId="165" fontId="6" fillId="0" borderId="0" xfId="1" applyNumberFormat="1" applyFont="1" applyAlignment="1">
      <alignment horizontal="center"/>
    </xf>
    <xf numFmtId="0" fontId="10" fillId="0" borderId="0" xfId="0" applyFont="1" applyBorder="1" applyAlignment="1">
      <alignment horizontal="right"/>
    </xf>
    <xf numFmtId="0" fontId="10" fillId="0" borderId="0" xfId="0" applyFont="1" applyAlignment="1">
      <alignment horizontal="right"/>
    </xf>
    <xf numFmtId="165" fontId="10" fillId="0" borderId="0" xfId="1" applyNumberFormat="1" applyFont="1"/>
    <xf numFmtId="165" fontId="10" fillId="0" borderId="0" xfId="1" applyNumberFormat="1" applyFont="1" applyAlignment="1">
      <alignment horizontal="right"/>
    </xf>
    <xf numFmtId="165" fontId="10" fillId="0" borderId="2" xfId="1" applyNumberFormat="1" applyFont="1" applyBorder="1"/>
    <xf numFmtId="165" fontId="10" fillId="0" borderId="0" xfId="1" applyNumberFormat="1" applyFont="1" applyBorder="1"/>
    <xf numFmtId="0" fontId="12" fillId="2" borderId="0" xfId="0" applyFont="1" applyFill="1" applyBorder="1"/>
    <xf numFmtId="9" fontId="0" fillId="0" borderId="0" xfId="2" applyFont="1"/>
  </cellXfs>
  <cellStyles count="4">
    <cellStyle name="Comma" xfId="1" builtinId="3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v>Waarde</c:v>
          </c:tx>
          <c:marker>
            <c:symbol val="none"/>
          </c:marker>
          <c:cat>
            <c:numLit>
              <c:formatCode>General</c:formatCode>
              <c:ptCount val="71"/>
              <c:pt idx="0">
                <c:v>1977</c:v>
              </c:pt>
              <c:pt idx="1">
                <c:v>1978</c:v>
              </c:pt>
              <c:pt idx="2">
                <c:v>1979</c:v>
              </c:pt>
              <c:pt idx="3">
                <c:v>1980</c:v>
              </c:pt>
              <c:pt idx="4">
                <c:v>1981</c:v>
              </c:pt>
              <c:pt idx="5">
                <c:v>1982</c:v>
              </c:pt>
              <c:pt idx="6">
                <c:v>1983</c:v>
              </c:pt>
              <c:pt idx="7">
                <c:v>1984</c:v>
              </c:pt>
              <c:pt idx="8">
                <c:v>1985</c:v>
              </c:pt>
              <c:pt idx="9">
                <c:v>1986</c:v>
              </c:pt>
              <c:pt idx="10">
                <c:v>1987</c:v>
              </c:pt>
              <c:pt idx="11">
                <c:v>1988</c:v>
              </c:pt>
              <c:pt idx="12">
                <c:v>1989</c:v>
              </c:pt>
              <c:pt idx="13">
                <c:v>1990</c:v>
              </c:pt>
              <c:pt idx="14">
                <c:v>1991</c:v>
              </c:pt>
              <c:pt idx="15">
                <c:v>1992</c:v>
              </c:pt>
              <c:pt idx="16">
                <c:v>1993</c:v>
              </c:pt>
              <c:pt idx="17">
                <c:v>1994</c:v>
              </c:pt>
              <c:pt idx="18">
                <c:v>1995</c:v>
              </c:pt>
              <c:pt idx="19">
                <c:v>1996</c:v>
              </c:pt>
              <c:pt idx="20">
                <c:v>1997</c:v>
              </c:pt>
              <c:pt idx="21">
                <c:v>1998</c:v>
              </c:pt>
              <c:pt idx="22">
                <c:v>1999</c:v>
              </c:pt>
              <c:pt idx="23">
                <c:v>2000</c:v>
              </c:pt>
              <c:pt idx="24">
                <c:v>2001</c:v>
              </c:pt>
              <c:pt idx="25">
                <c:v>2002</c:v>
              </c:pt>
              <c:pt idx="26">
                <c:v>2003</c:v>
              </c:pt>
              <c:pt idx="27">
                <c:v>2004</c:v>
              </c:pt>
              <c:pt idx="28">
                <c:v>2005</c:v>
              </c:pt>
              <c:pt idx="29">
                <c:v>2006</c:v>
              </c:pt>
              <c:pt idx="30">
                <c:v>2007</c:v>
              </c:pt>
              <c:pt idx="31">
                <c:v>2008</c:v>
              </c:pt>
              <c:pt idx="32">
                <c:v>2009</c:v>
              </c:pt>
              <c:pt idx="33">
                <c:v>2010</c:v>
              </c:pt>
              <c:pt idx="34">
                <c:v>2011</c:v>
              </c:pt>
              <c:pt idx="35">
                <c:v>2012</c:v>
              </c:pt>
              <c:pt idx="36">
                <c:v>2013</c:v>
              </c:pt>
              <c:pt idx="37">
                <c:v>2014</c:v>
              </c:pt>
              <c:pt idx="38">
                <c:v>2015</c:v>
              </c:pt>
              <c:pt idx="39">
                <c:v>2016</c:v>
              </c:pt>
              <c:pt idx="40">
                <c:v>2017</c:v>
              </c:pt>
              <c:pt idx="41">
                <c:v>2018</c:v>
              </c:pt>
              <c:pt idx="42">
                <c:v>2019</c:v>
              </c:pt>
              <c:pt idx="43">
                <c:v>2020</c:v>
              </c:pt>
              <c:pt idx="44">
                <c:v>2021</c:v>
              </c:pt>
              <c:pt idx="45">
                <c:v>2022</c:v>
              </c:pt>
              <c:pt idx="46">
                <c:v>2023</c:v>
              </c:pt>
              <c:pt idx="47">
                <c:v>2024</c:v>
              </c:pt>
              <c:pt idx="48">
                <c:v>2025</c:v>
              </c:pt>
              <c:pt idx="49">
                <c:v>2026</c:v>
              </c:pt>
              <c:pt idx="50">
                <c:v>2027</c:v>
              </c:pt>
              <c:pt idx="51">
                <c:v>2028</c:v>
              </c:pt>
              <c:pt idx="52">
                <c:v>2029</c:v>
              </c:pt>
              <c:pt idx="53">
                <c:v>2030</c:v>
              </c:pt>
              <c:pt idx="54">
                <c:v>2031</c:v>
              </c:pt>
              <c:pt idx="55">
                <c:v>2032</c:v>
              </c:pt>
              <c:pt idx="56">
                <c:v>2033</c:v>
              </c:pt>
              <c:pt idx="57">
                <c:v>2034</c:v>
              </c:pt>
              <c:pt idx="58">
                <c:v>2035</c:v>
              </c:pt>
              <c:pt idx="59">
                <c:v>2036</c:v>
              </c:pt>
              <c:pt idx="60">
                <c:v>2037</c:v>
              </c:pt>
              <c:pt idx="61">
                <c:v>2038</c:v>
              </c:pt>
              <c:pt idx="62">
                <c:v>2039</c:v>
              </c:pt>
              <c:pt idx="63">
                <c:v>2040</c:v>
              </c:pt>
              <c:pt idx="64">
                <c:v>2041</c:v>
              </c:pt>
              <c:pt idx="65">
                <c:v>2042</c:v>
              </c:pt>
              <c:pt idx="66">
                <c:v>2043</c:v>
              </c:pt>
              <c:pt idx="67">
                <c:v>2044</c:v>
              </c:pt>
              <c:pt idx="68">
                <c:v>2045</c:v>
              </c:pt>
              <c:pt idx="69">
                <c:v>2046</c:v>
              </c:pt>
              <c:pt idx="70">
                <c:v>2047</c:v>
              </c:pt>
            </c:numLit>
          </c:cat>
          <c:val>
            <c:numLit>
              <c:formatCode>General</c:formatCode>
              <c:ptCount val="51"/>
              <c:pt idx="0">
                <c:v>2205.5820285908781</c:v>
              </c:pt>
              <c:pt idx="1">
                <c:v>4506.8863172226002</c:v>
              </c:pt>
              <c:pt idx="2">
                <c:v>6908.0672119809387</c:v>
              </c:pt>
              <c:pt idx="3">
                <c:v>9413.45935757179</c:v>
              </c:pt>
              <c:pt idx="4">
                <c:v>12027.585522281282</c:v>
              </c:pt>
              <c:pt idx="5">
                <c:v>14755.164762539167</c:v>
              </c:pt>
              <c:pt idx="6">
                <c:v>17601.120941824247</c:v>
              </c:pt>
              <c:pt idx="7">
                <c:v>20570.591619290295</c:v>
              </c:pt>
              <c:pt idx="8">
                <c:v>23668.937324158371</c:v>
              </c:pt>
              <c:pt idx="9">
                <c:v>26901.75123261772</c:v>
              </c:pt>
              <c:pt idx="10">
                <c:v>30274.869264704208</c:v>
              </c:pt>
              <c:pt idx="11">
                <c:v>33794.38061938325</c:v>
              </c:pt>
              <c:pt idx="12">
                <c:v>37466.638766855358</c:v>
              </c:pt>
              <c:pt idx="13">
                <c:v>41298.272917927759</c:v>
              </c:pt>
              <c:pt idx="14">
                <c:v>45296.199991156704</c:v>
              </c:pt>
              <c:pt idx="15">
                <c:v>49467.637099363783</c:v>
              </c:pt>
              <c:pt idx="16">
                <c:v>53820.114578067049</c:v>
              </c:pt>
              <c:pt idx="17">
                <c:v>58361.489579346038</c:v>
              </c:pt>
              <c:pt idx="18">
                <c:v>63099.960255680533</c:v>
              </c:pt>
              <c:pt idx="19">
                <c:v>68044.080559367954</c:v>
              </c:pt>
              <c:pt idx="20">
                <c:v>73202.563655644524</c:v>
              </c:pt>
              <c:pt idx="21">
                <c:v>78584.924918299497</c:v>
              </c:pt>
              <c:pt idx="22">
                <c:v>84200.88065975369</c:v>
              </c:pt>
              <c:pt idx="23">
                <c:v>90060.568880387</c:v>
              </c:pt>
              <c:pt idx="24">
                <c:v>96174.567569795792</c:v>
              </c:pt>
              <c:pt idx="25">
                <c:v>102553.91380232493</c:v>
              </c:pt>
              <c:pt idx="26">
                <c:v>109210.12366134582</c:v>
              </c:pt>
              <c:pt idx="27">
                <c:v>116155.21302824822</c:v>
              </c:pt>
              <c:pt idx="28">
                <c:v>123401.7192736742</c:v>
              </c:pt>
              <c:pt idx="29">
                <c:v>130962.72389015165</c:v>
              </c:pt>
              <c:pt idx="30">
                <c:v>139572.90610698424</c:v>
              </c:pt>
              <c:pt idx="31">
                <c:v>148556.77023202737</c:v>
              </c:pt>
              <c:pt idx="32">
                <c:v>157930.53406009736</c:v>
              </c:pt>
              <c:pt idx="33">
                <c:v>167711.11923830557</c:v>
              </c:pt>
              <c:pt idx="34">
                <c:v>177916.18181324803</c:v>
              </c:pt>
              <c:pt idx="35">
                <c:v>188564.14410394299</c:v>
              </c:pt>
              <c:pt idx="36">
                <c:v>199674.22795805411</c:v>
              </c:pt>
              <c:pt idx="37">
                <c:v>211266.48945143365</c:v>
              </c:pt>
              <c:pt idx="38">
                <c:v>223361.85509362587</c:v>
              </c:pt>
              <c:pt idx="39">
                <c:v>235982.15960468922</c:v>
              </c:pt>
              <c:pt idx="40">
                <c:v>249969.82533153275</c:v>
              </c:pt>
              <c:pt idx="41">
                <c:v>264564.55575092125</c:v>
              </c:pt>
              <c:pt idx="42">
                <c:v>279792.69747051119</c:v>
              </c:pt>
              <c:pt idx="43">
                <c:v>295681.74054073135</c:v>
              </c:pt>
              <c:pt idx="44">
                <c:v>312260.36808019906</c:v>
              </c:pt>
              <c:pt idx="45">
                <c:v>329558.50805487967</c:v>
              </c:pt>
              <c:pt idx="46">
                <c:v>347607.38730446144</c:v>
              </c:pt>
              <c:pt idx="47">
                <c:v>366439.58791347506</c:v>
              </c:pt>
              <c:pt idx="48">
                <c:v>386089.10602891986</c:v>
              </c:pt>
              <c:pt idx="49">
                <c:v>406591.41323057498</c:v>
              </c:pt>
              <c:pt idx="50">
                <c:v>424237.48056478193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BE-2E46-B158-70EF99A90B0F}"/>
            </c:ext>
          </c:extLst>
        </c:ser>
        <c:ser>
          <c:idx val="2"/>
          <c:order val="2"/>
          <c:tx>
            <c:v>Grondwaarde</c:v>
          </c:tx>
          <c:marker>
            <c:symbol val="none"/>
          </c:marker>
          <c:cat>
            <c:numLit>
              <c:formatCode>General</c:formatCode>
              <c:ptCount val="71"/>
              <c:pt idx="0">
                <c:v>1977</c:v>
              </c:pt>
              <c:pt idx="1">
                <c:v>1978</c:v>
              </c:pt>
              <c:pt idx="2">
                <c:v>1979</c:v>
              </c:pt>
              <c:pt idx="3">
                <c:v>1980</c:v>
              </c:pt>
              <c:pt idx="4">
                <c:v>1981</c:v>
              </c:pt>
              <c:pt idx="5">
                <c:v>1982</c:v>
              </c:pt>
              <c:pt idx="6">
                <c:v>1983</c:v>
              </c:pt>
              <c:pt idx="7">
                <c:v>1984</c:v>
              </c:pt>
              <c:pt idx="8">
                <c:v>1985</c:v>
              </c:pt>
              <c:pt idx="9">
                <c:v>1986</c:v>
              </c:pt>
              <c:pt idx="10">
                <c:v>1987</c:v>
              </c:pt>
              <c:pt idx="11">
                <c:v>1988</c:v>
              </c:pt>
              <c:pt idx="12">
                <c:v>1989</c:v>
              </c:pt>
              <c:pt idx="13">
                <c:v>1990</c:v>
              </c:pt>
              <c:pt idx="14">
                <c:v>1991</c:v>
              </c:pt>
              <c:pt idx="15">
                <c:v>1992</c:v>
              </c:pt>
              <c:pt idx="16">
                <c:v>1993</c:v>
              </c:pt>
              <c:pt idx="17">
                <c:v>1994</c:v>
              </c:pt>
              <c:pt idx="18">
                <c:v>1995</c:v>
              </c:pt>
              <c:pt idx="19">
                <c:v>1996</c:v>
              </c:pt>
              <c:pt idx="20">
                <c:v>1997</c:v>
              </c:pt>
              <c:pt idx="21">
                <c:v>1998</c:v>
              </c:pt>
              <c:pt idx="22">
                <c:v>1999</c:v>
              </c:pt>
              <c:pt idx="23">
                <c:v>2000</c:v>
              </c:pt>
              <c:pt idx="24">
                <c:v>2001</c:v>
              </c:pt>
              <c:pt idx="25">
                <c:v>2002</c:v>
              </c:pt>
              <c:pt idx="26">
                <c:v>2003</c:v>
              </c:pt>
              <c:pt idx="27">
                <c:v>2004</c:v>
              </c:pt>
              <c:pt idx="28">
                <c:v>2005</c:v>
              </c:pt>
              <c:pt idx="29">
                <c:v>2006</c:v>
              </c:pt>
              <c:pt idx="30">
                <c:v>2007</c:v>
              </c:pt>
              <c:pt idx="31">
                <c:v>2008</c:v>
              </c:pt>
              <c:pt idx="32">
                <c:v>2009</c:v>
              </c:pt>
              <c:pt idx="33">
                <c:v>2010</c:v>
              </c:pt>
              <c:pt idx="34">
                <c:v>2011</c:v>
              </c:pt>
              <c:pt idx="35">
                <c:v>2012</c:v>
              </c:pt>
              <c:pt idx="36">
                <c:v>2013</c:v>
              </c:pt>
              <c:pt idx="37">
                <c:v>2014</c:v>
              </c:pt>
              <c:pt idx="38">
                <c:v>2015</c:v>
              </c:pt>
              <c:pt idx="39">
                <c:v>2016</c:v>
              </c:pt>
              <c:pt idx="40">
                <c:v>2017</c:v>
              </c:pt>
              <c:pt idx="41">
                <c:v>2018</c:v>
              </c:pt>
              <c:pt idx="42">
                <c:v>2019</c:v>
              </c:pt>
              <c:pt idx="43">
                <c:v>2020</c:v>
              </c:pt>
              <c:pt idx="44">
                <c:v>2021</c:v>
              </c:pt>
              <c:pt idx="45">
                <c:v>2022</c:v>
              </c:pt>
              <c:pt idx="46">
                <c:v>2023</c:v>
              </c:pt>
              <c:pt idx="47">
                <c:v>2024</c:v>
              </c:pt>
              <c:pt idx="48">
                <c:v>2025</c:v>
              </c:pt>
              <c:pt idx="49">
                <c:v>2026</c:v>
              </c:pt>
              <c:pt idx="50">
                <c:v>2027</c:v>
              </c:pt>
              <c:pt idx="51">
                <c:v>2028</c:v>
              </c:pt>
              <c:pt idx="52">
                <c:v>2029</c:v>
              </c:pt>
              <c:pt idx="53">
                <c:v>2030</c:v>
              </c:pt>
              <c:pt idx="54">
                <c:v>2031</c:v>
              </c:pt>
              <c:pt idx="55">
                <c:v>2032</c:v>
              </c:pt>
              <c:pt idx="56">
                <c:v>2033</c:v>
              </c:pt>
              <c:pt idx="57">
                <c:v>2034</c:v>
              </c:pt>
              <c:pt idx="58">
                <c:v>2035</c:v>
              </c:pt>
              <c:pt idx="59">
                <c:v>2036</c:v>
              </c:pt>
              <c:pt idx="60">
                <c:v>2037</c:v>
              </c:pt>
              <c:pt idx="61">
                <c:v>2038</c:v>
              </c:pt>
              <c:pt idx="62">
                <c:v>2039</c:v>
              </c:pt>
              <c:pt idx="63">
                <c:v>2040</c:v>
              </c:pt>
              <c:pt idx="64">
                <c:v>2041</c:v>
              </c:pt>
              <c:pt idx="65">
                <c:v>2042</c:v>
              </c:pt>
              <c:pt idx="66">
                <c:v>2043</c:v>
              </c:pt>
              <c:pt idx="67">
                <c:v>2044</c:v>
              </c:pt>
              <c:pt idx="68">
                <c:v>2045</c:v>
              </c:pt>
              <c:pt idx="69">
                <c:v>2046</c:v>
              </c:pt>
              <c:pt idx="70">
                <c:v>2047</c:v>
              </c:pt>
            </c:numLit>
          </c:cat>
          <c:val>
            <c:numLit>
              <c:formatCode>General</c:formatCode>
              <c:ptCount val="51"/>
              <c:pt idx="0">
                <c:v>24506.466984343089</c:v>
              </c:pt>
              <c:pt idx="1">
                <c:v>27393.805309734511</c:v>
              </c:pt>
              <c:pt idx="2">
                <c:v>30281.143635125933</c:v>
              </c:pt>
              <c:pt idx="3">
                <c:v>33168.481960517354</c:v>
              </c:pt>
              <c:pt idx="4">
                <c:v>36055.820285908776</c:v>
              </c:pt>
              <c:pt idx="5">
                <c:v>38943.158611300205</c:v>
              </c:pt>
              <c:pt idx="6">
                <c:v>41830.496936691627</c:v>
              </c:pt>
              <c:pt idx="7">
                <c:v>44717.835262083048</c:v>
              </c:pt>
              <c:pt idx="8">
                <c:v>47605.17358747447</c:v>
              </c:pt>
              <c:pt idx="9">
                <c:v>50492.511912865892</c:v>
              </c:pt>
              <c:pt idx="10">
                <c:v>53379.850238257321</c:v>
              </c:pt>
              <c:pt idx="11">
                <c:v>56267.188563648742</c:v>
              </c:pt>
              <c:pt idx="12">
                <c:v>59154.526889040164</c:v>
              </c:pt>
              <c:pt idx="13">
                <c:v>62041.865214431586</c:v>
              </c:pt>
              <c:pt idx="14">
                <c:v>64929.203539823007</c:v>
              </c:pt>
              <c:pt idx="15">
                <c:v>67816.541865214429</c:v>
              </c:pt>
              <c:pt idx="16">
                <c:v>70703.880190605851</c:v>
              </c:pt>
              <c:pt idx="17">
                <c:v>73591.218515997287</c:v>
              </c:pt>
              <c:pt idx="18">
                <c:v>76478.556841388694</c:v>
              </c:pt>
              <c:pt idx="19">
                <c:v>79365.89516678013</c:v>
              </c:pt>
              <c:pt idx="20">
                <c:v>82253.233492171537</c:v>
              </c:pt>
              <c:pt idx="21">
                <c:v>85140.571817562974</c:v>
              </c:pt>
              <c:pt idx="22">
                <c:v>88027.910142954395</c:v>
              </c:pt>
              <c:pt idx="23">
                <c:v>90915.248468345817</c:v>
              </c:pt>
              <c:pt idx="24">
                <c:v>93802.586793737239</c:v>
              </c:pt>
              <c:pt idx="25">
                <c:v>96689.92511912866</c:v>
              </c:pt>
              <c:pt idx="26">
                <c:v>99577.263444520082</c:v>
              </c:pt>
              <c:pt idx="27">
                <c:v>102464.6017699115</c:v>
              </c:pt>
              <c:pt idx="28">
                <c:v>105351.94009530293</c:v>
              </c:pt>
              <c:pt idx="29">
                <c:v>108239.27842069435</c:v>
              </c:pt>
              <c:pt idx="30">
                <c:v>111126.61674608577</c:v>
              </c:pt>
              <c:pt idx="31">
                <c:v>114013.9550714772</c:v>
              </c:pt>
              <c:pt idx="32">
                <c:v>116901.29339686861</c:v>
              </c:pt>
              <c:pt idx="33">
                <c:v>119788.63172226003</c:v>
              </c:pt>
              <c:pt idx="34">
                <c:v>122675.97004765147</c:v>
              </c:pt>
              <c:pt idx="35">
                <c:v>125563.30837304289</c:v>
              </c:pt>
              <c:pt idx="36">
                <c:v>128450.6466984343</c:v>
              </c:pt>
              <c:pt idx="37">
                <c:v>131337.98502382572</c:v>
              </c:pt>
              <c:pt idx="38">
                <c:v>134225.32334921719</c:v>
              </c:pt>
              <c:pt idx="39">
                <c:v>137112.66167460859</c:v>
              </c:pt>
              <c:pt idx="40">
                <c:v>140000</c:v>
              </c:pt>
              <c:pt idx="41">
                <c:v>142887.33832539144</c:v>
              </c:pt>
              <c:pt idx="42">
                <c:v>145774.67665078284</c:v>
              </c:pt>
              <c:pt idx="43">
                <c:v>148662.01497617428</c:v>
              </c:pt>
              <c:pt idx="44">
                <c:v>151549.35330156569</c:v>
              </c:pt>
              <c:pt idx="45">
                <c:v>154436.69162695709</c:v>
              </c:pt>
              <c:pt idx="46">
                <c:v>157324.02995234856</c:v>
              </c:pt>
              <c:pt idx="47">
                <c:v>160211.36827773997</c:v>
              </c:pt>
              <c:pt idx="48">
                <c:v>163098.70660313137</c:v>
              </c:pt>
              <c:pt idx="49">
                <c:v>165986.04492852278</c:v>
              </c:pt>
              <c:pt idx="50">
                <c:v>168873.38325391422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7BE-2E46-B158-70EF99A90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228224"/>
        <c:axId val="90230144"/>
      </c:lineChart>
      <c:lineChart>
        <c:grouping val="standard"/>
        <c:varyColors val="0"/>
        <c:ser>
          <c:idx val="0"/>
          <c:order val="0"/>
          <c:tx>
            <c:v>Betalingen </c:v>
          </c:tx>
          <c:marker>
            <c:symbol val="none"/>
          </c:marker>
          <c:cat>
            <c:numLit>
              <c:formatCode>General</c:formatCode>
              <c:ptCount val="71"/>
              <c:pt idx="0">
                <c:v>1977</c:v>
              </c:pt>
              <c:pt idx="1">
                <c:v>1978</c:v>
              </c:pt>
              <c:pt idx="2">
                <c:v>1979</c:v>
              </c:pt>
              <c:pt idx="3">
                <c:v>1980</c:v>
              </c:pt>
              <c:pt idx="4">
                <c:v>1981</c:v>
              </c:pt>
              <c:pt idx="5">
                <c:v>1982</c:v>
              </c:pt>
              <c:pt idx="6">
                <c:v>1983</c:v>
              </c:pt>
              <c:pt idx="7">
                <c:v>1984</c:v>
              </c:pt>
              <c:pt idx="8">
                <c:v>1985</c:v>
              </c:pt>
              <c:pt idx="9">
                <c:v>1986</c:v>
              </c:pt>
              <c:pt idx="10">
                <c:v>1987</c:v>
              </c:pt>
              <c:pt idx="11">
                <c:v>1988</c:v>
              </c:pt>
              <c:pt idx="12">
                <c:v>1989</c:v>
              </c:pt>
              <c:pt idx="13">
                <c:v>1990</c:v>
              </c:pt>
              <c:pt idx="14">
                <c:v>1991</c:v>
              </c:pt>
              <c:pt idx="15">
                <c:v>1992</c:v>
              </c:pt>
              <c:pt idx="16">
                <c:v>1993</c:v>
              </c:pt>
              <c:pt idx="17">
                <c:v>1994</c:v>
              </c:pt>
              <c:pt idx="18">
                <c:v>1995</c:v>
              </c:pt>
              <c:pt idx="19">
                <c:v>1996</c:v>
              </c:pt>
              <c:pt idx="20">
                <c:v>1997</c:v>
              </c:pt>
              <c:pt idx="21">
                <c:v>1998</c:v>
              </c:pt>
              <c:pt idx="22">
                <c:v>1999</c:v>
              </c:pt>
              <c:pt idx="23">
                <c:v>2000</c:v>
              </c:pt>
              <c:pt idx="24">
                <c:v>2001</c:v>
              </c:pt>
              <c:pt idx="25">
                <c:v>2002</c:v>
              </c:pt>
              <c:pt idx="26">
                <c:v>2003</c:v>
              </c:pt>
              <c:pt idx="27">
                <c:v>2004</c:v>
              </c:pt>
              <c:pt idx="28">
                <c:v>2005</c:v>
              </c:pt>
              <c:pt idx="29">
                <c:v>2006</c:v>
              </c:pt>
              <c:pt idx="30">
                <c:v>2007</c:v>
              </c:pt>
              <c:pt idx="31">
                <c:v>2008</c:v>
              </c:pt>
              <c:pt idx="32">
                <c:v>2009</c:v>
              </c:pt>
              <c:pt idx="33">
                <c:v>2010</c:v>
              </c:pt>
              <c:pt idx="34">
                <c:v>2011</c:v>
              </c:pt>
              <c:pt idx="35">
                <c:v>2012</c:v>
              </c:pt>
              <c:pt idx="36">
                <c:v>2013</c:v>
              </c:pt>
              <c:pt idx="37">
                <c:v>2014</c:v>
              </c:pt>
              <c:pt idx="38">
                <c:v>2015</c:v>
              </c:pt>
              <c:pt idx="39">
                <c:v>2016</c:v>
              </c:pt>
              <c:pt idx="40">
                <c:v>2017</c:v>
              </c:pt>
              <c:pt idx="41">
                <c:v>2018</c:v>
              </c:pt>
              <c:pt idx="42">
                <c:v>2019</c:v>
              </c:pt>
              <c:pt idx="43">
                <c:v>2020</c:v>
              </c:pt>
              <c:pt idx="44">
                <c:v>2021</c:v>
              </c:pt>
              <c:pt idx="45">
                <c:v>2022</c:v>
              </c:pt>
              <c:pt idx="46">
                <c:v>2023</c:v>
              </c:pt>
              <c:pt idx="47">
                <c:v>2024</c:v>
              </c:pt>
              <c:pt idx="48">
                <c:v>2025</c:v>
              </c:pt>
              <c:pt idx="49">
                <c:v>2026</c:v>
              </c:pt>
              <c:pt idx="50">
                <c:v>2027</c:v>
              </c:pt>
              <c:pt idx="51">
                <c:v>2028</c:v>
              </c:pt>
              <c:pt idx="52">
                <c:v>2029</c:v>
              </c:pt>
              <c:pt idx="53">
                <c:v>2030</c:v>
              </c:pt>
              <c:pt idx="54">
                <c:v>2031</c:v>
              </c:pt>
              <c:pt idx="55">
                <c:v>2032</c:v>
              </c:pt>
              <c:pt idx="56">
                <c:v>2033</c:v>
              </c:pt>
              <c:pt idx="57">
                <c:v>2034</c:v>
              </c:pt>
              <c:pt idx="58">
                <c:v>2035</c:v>
              </c:pt>
              <c:pt idx="59">
                <c:v>2036</c:v>
              </c:pt>
              <c:pt idx="60">
                <c:v>2037</c:v>
              </c:pt>
              <c:pt idx="61">
                <c:v>2038</c:v>
              </c:pt>
              <c:pt idx="62">
                <c:v>2039</c:v>
              </c:pt>
              <c:pt idx="63">
                <c:v>2040</c:v>
              </c:pt>
              <c:pt idx="64">
                <c:v>2041</c:v>
              </c:pt>
              <c:pt idx="65">
                <c:v>2042</c:v>
              </c:pt>
              <c:pt idx="66">
                <c:v>2043</c:v>
              </c:pt>
              <c:pt idx="67">
                <c:v>2044</c:v>
              </c:pt>
              <c:pt idx="68">
                <c:v>2045</c:v>
              </c:pt>
              <c:pt idx="69">
                <c:v>2046</c:v>
              </c:pt>
              <c:pt idx="70">
                <c:v>2047</c:v>
              </c:pt>
            </c:numLit>
          </c:cat>
          <c:val>
            <c:numLit>
              <c:formatCode>General</c:formatCode>
              <c:ptCount val="51"/>
              <c:pt idx="0">
                <c:v>2205.5820285908781</c:v>
              </c:pt>
              <c:pt idx="1">
                <c:v>2205.5820285908781</c:v>
              </c:pt>
              <c:pt idx="2">
                <c:v>2205.5820285908781</c:v>
              </c:pt>
              <c:pt idx="3">
                <c:v>2205.5820285908781</c:v>
              </c:pt>
              <c:pt idx="4">
                <c:v>2205.5820285908781</c:v>
              </c:pt>
              <c:pt idx="5">
                <c:v>2205.5820285908781</c:v>
              </c:pt>
              <c:pt idx="6">
                <c:v>2205.5820285908781</c:v>
              </c:pt>
              <c:pt idx="7">
                <c:v>2205.5820285908781</c:v>
              </c:pt>
              <c:pt idx="8">
                <c:v>2205.5820285908781</c:v>
              </c:pt>
              <c:pt idx="9">
                <c:v>2205.5820285908781</c:v>
              </c:pt>
              <c:pt idx="10">
                <c:v>2205.5820285908781</c:v>
              </c:pt>
              <c:pt idx="11">
                <c:v>2205.5820285908781</c:v>
              </c:pt>
              <c:pt idx="12">
                <c:v>2205.5820285908781</c:v>
              </c:pt>
              <c:pt idx="13">
                <c:v>2205.5820285908781</c:v>
              </c:pt>
              <c:pt idx="14">
                <c:v>2205.5820285908781</c:v>
              </c:pt>
              <c:pt idx="15">
                <c:v>2205.5820285908781</c:v>
              </c:pt>
              <c:pt idx="16">
                <c:v>2205.5820285908781</c:v>
              </c:pt>
              <c:pt idx="17">
                <c:v>2205.5820285908781</c:v>
              </c:pt>
              <c:pt idx="18">
                <c:v>2205.5820285908781</c:v>
              </c:pt>
              <c:pt idx="19">
                <c:v>2205.5820285908781</c:v>
              </c:pt>
              <c:pt idx="20">
                <c:v>2205.37</c:v>
              </c:pt>
              <c:pt idx="21">
                <c:v>2205.37</c:v>
              </c:pt>
              <c:pt idx="22">
                <c:v>2205.37</c:v>
              </c:pt>
              <c:pt idx="23">
                <c:v>2205.37</c:v>
              </c:pt>
              <c:pt idx="24">
                <c:v>2205.37</c:v>
              </c:pt>
              <c:pt idx="25">
                <c:v>2205.37</c:v>
              </c:pt>
              <c:pt idx="26">
                <c:v>2205.37</c:v>
              </c:pt>
              <c:pt idx="27">
                <c:v>2205.37</c:v>
              </c:pt>
              <c:pt idx="28">
                <c:v>2205.37</c:v>
              </c:pt>
              <c:pt idx="29">
                <c:v>2205.37</c:v>
              </c:pt>
              <c:pt idx="30">
                <c:v>2926.4</c:v>
              </c:pt>
              <c:pt idx="31">
                <c:v>2926.4</c:v>
              </c:pt>
              <c:pt idx="32">
                <c:v>2926.4</c:v>
              </c:pt>
              <c:pt idx="33">
                <c:v>2926.4</c:v>
              </c:pt>
              <c:pt idx="34">
                <c:v>2926.4</c:v>
              </c:pt>
              <c:pt idx="35">
                <c:v>2926.4</c:v>
              </c:pt>
              <c:pt idx="36">
                <c:v>2926.4</c:v>
              </c:pt>
              <c:pt idx="37">
                <c:v>2926.4</c:v>
              </c:pt>
              <c:pt idx="38">
                <c:v>2926.4</c:v>
              </c:pt>
              <c:pt idx="39">
                <c:v>2926.4</c:v>
              </c:pt>
              <c:pt idx="40">
                <c:v>3746.04</c:v>
              </c:pt>
              <c:pt idx="41">
                <c:v>3746.04</c:v>
              </c:pt>
              <c:pt idx="42">
                <c:v>3746.04</c:v>
              </c:pt>
              <c:pt idx="43">
                <c:v>3746.04</c:v>
              </c:pt>
              <c:pt idx="44">
                <c:v>3746.04</c:v>
              </c:pt>
              <c:pt idx="45">
                <c:v>3746.04</c:v>
              </c:pt>
              <c:pt idx="46">
                <c:v>3746.04</c:v>
              </c:pt>
              <c:pt idx="47">
                <c:v>3746.04</c:v>
              </c:pt>
              <c:pt idx="48">
                <c:v>3746.04</c:v>
              </c:pt>
              <c:pt idx="49">
                <c:v>3746.04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7BE-2E46-B158-70EF99A90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34400"/>
        <c:axId val="44532864"/>
      </c:lineChart>
      <c:catAx>
        <c:axId val="9022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0230144"/>
        <c:crosses val="autoZero"/>
        <c:auto val="1"/>
        <c:lblAlgn val="ctr"/>
        <c:lblOffset val="100"/>
        <c:noMultiLvlLbl val="0"/>
      </c:catAx>
      <c:valAx>
        <c:axId val="90230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0228224"/>
        <c:crosses val="autoZero"/>
        <c:crossBetween val="between"/>
      </c:valAx>
      <c:valAx>
        <c:axId val="445328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4534400"/>
        <c:crosses val="max"/>
        <c:crossBetween val="between"/>
      </c:valAx>
      <c:catAx>
        <c:axId val="44534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4532864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v>Waarde</c:v>
          </c:tx>
          <c:marker>
            <c:symbol val="none"/>
          </c:marker>
          <c:cat>
            <c:numLit>
              <c:formatCode>General</c:formatCode>
              <c:ptCount val="71"/>
              <c:pt idx="0">
                <c:v>1977</c:v>
              </c:pt>
              <c:pt idx="1">
                <c:v>1978</c:v>
              </c:pt>
              <c:pt idx="2">
                <c:v>1979</c:v>
              </c:pt>
              <c:pt idx="3">
                <c:v>1980</c:v>
              </c:pt>
              <c:pt idx="4">
                <c:v>1981</c:v>
              </c:pt>
              <c:pt idx="5">
                <c:v>1982</c:v>
              </c:pt>
              <c:pt idx="6">
                <c:v>1983</c:v>
              </c:pt>
              <c:pt idx="7">
                <c:v>1984</c:v>
              </c:pt>
              <c:pt idx="8">
                <c:v>1985</c:v>
              </c:pt>
              <c:pt idx="9">
                <c:v>1986</c:v>
              </c:pt>
              <c:pt idx="10">
                <c:v>1987</c:v>
              </c:pt>
              <c:pt idx="11">
                <c:v>1988</c:v>
              </c:pt>
              <c:pt idx="12">
                <c:v>1989</c:v>
              </c:pt>
              <c:pt idx="13">
                <c:v>1990</c:v>
              </c:pt>
              <c:pt idx="14">
                <c:v>1991</c:v>
              </c:pt>
              <c:pt idx="15">
                <c:v>1992</c:v>
              </c:pt>
              <c:pt idx="16">
                <c:v>1993</c:v>
              </c:pt>
              <c:pt idx="17">
                <c:v>1994</c:v>
              </c:pt>
              <c:pt idx="18">
                <c:v>1995</c:v>
              </c:pt>
              <c:pt idx="19">
                <c:v>1996</c:v>
              </c:pt>
              <c:pt idx="20">
                <c:v>1997</c:v>
              </c:pt>
              <c:pt idx="21">
                <c:v>1998</c:v>
              </c:pt>
              <c:pt idx="22">
                <c:v>1999</c:v>
              </c:pt>
              <c:pt idx="23">
                <c:v>2000</c:v>
              </c:pt>
              <c:pt idx="24">
                <c:v>2001</c:v>
              </c:pt>
              <c:pt idx="25">
                <c:v>2002</c:v>
              </c:pt>
              <c:pt idx="26">
                <c:v>2003</c:v>
              </c:pt>
              <c:pt idx="27">
                <c:v>2004</c:v>
              </c:pt>
              <c:pt idx="28">
                <c:v>2005</c:v>
              </c:pt>
              <c:pt idx="29">
                <c:v>2006</c:v>
              </c:pt>
              <c:pt idx="30">
                <c:v>2007</c:v>
              </c:pt>
              <c:pt idx="31">
                <c:v>2008</c:v>
              </c:pt>
              <c:pt idx="32">
                <c:v>2009</c:v>
              </c:pt>
              <c:pt idx="33">
                <c:v>2010</c:v>
              </c:pt>
              <c:pt idx="34">
                <c:v>2011</c:v>
              </c:pt>
              <c:pt idx="35">
                <c:v>2012</c:v>
              </c:pt>
              <c:pt idx="36">
                <c:v>2013</c:v>
              </c:pt>
              <c:pt idx="37">
                <c:v>2014</c:v>
              </c:pt>
              <c:pt idx="38">
                <c:v>2015</c:v>
              </c:pt>
              <c:pt idx="39">
                <c:v>2016</c:v>
              </c:pt>
              <c:pt idx="40">
                <c:v>2017</c:v>
              </c:pt>
              <c:pt idx="41">
                <c:v>2018</c:v>
              </c:pt>
              <c:pt idx="42">
                <c:v>2019</c:v>
              </c:pt>
              <c:pt idx="43">
                <c:v>2020</c:v>
              </c:pt>
              <c:pt idx="44">
                <c:v>2021</c:v>
              </c:pt>
              <c:pt idx="45">
                <c:v>2022</c:v>
              </c:pt>
              <c:pt idx="46">
                <c:v>2023</c:v>
              </c:pt>
              <c:pt idx="47">
                <c:v>2024</c:v>
              </c:pt>
              <c:pt idx="48">
                <c:v>2025</c:v>
              </c:pt>
              <c:pt idx="49">
                <c:v>2026</c:v>
              </c:pt>
              <c:pt idx="50">
                <c:v>2027</c:v>
              </c:pt>
              <c:pt idx="51">
                <c:v>2028</c:v>
              </c:pt>
              <c:pt idx="52">
                <c:v>2029</c:v>
              </c:pt>
              <c:pt idx="53">
                <c:v>2030</c:v>
              </c:pt>
              <c:pt idx="54">
                <c:v>2031</c:v>
              </c:pt>
              <c:pt idx="55">
                <c:v>2032</c:v>
              </c:pt>
              <c:pt idx="56">
                <c:v>2033</c:v>
              </c:pt>
              <c:pt idx="57">
                <c:v>2034</c:v>
              </c:pt>
              <c:pt idx="58">
                <c:v>2035</c:v>
              </c:pt>
              <c:pt idx="59">
                <c:v>2036</c:v>
              </c:pt>
              <c:pt idx="60">
                <c:v>2037</c:v>
              </c:pt>
              <c:pt idx="61">
                <c:v>2038</c:v>
              </c:pt>
              <c:pt idx="62">
                <c:v>2039</c:v>
              </c:pt>
              <c:pt idx="63">
                <c:v>2040</c:v>
              </c:pt>
              <c:pt idx="64">
                <c:v>2041</c:v>
              </c:pt>
              <c:pt idx="65">
                <c:v>2042</c:v>
              </c:pt>
              <c:pt idx="66">
                <c:v>2043</c:v>
              </c:pt>
              <c:pt idx="67">
                <c:v>2044</c:v>
              </c:pt>
              <c:pt idx="68">
                <c:v>2045</c:v>
              </c:pt>
              <c:pt idx="69">
                <c:v>2046</c:v>
              </c:pt>
              <c:pt idx="70">
                <c:v>2047</c:v>
              </c:pt>
            </c:numLit>
          </c:cat>
          <c:val>
            <c:numLit>
              <c:formatCode>General</c:formatCode>
              <c:ptCount val="59"/>
              <c:pt idx="0">
                <c:v>1840.0855781386754</c:v>
              </c:pt>
              <c:pt idx="1">
                <c:v>3760.0308703685691</c:v>
              </c:pt>
              <c:pt idx="2">
                <c:v>5763.3017882812401</c:v>
              </c:pt>
              <c:pt idx="3">
                <c:v>7853.5146640313214</c:v>
              </c:pt>
              <c:pt idx="4">
                <c:v>10034.442778588957</c:v>
              </c:pt>
              <c:pt idx="5">
                <c:v>12310.023173318394</c:v>
              </c:pt>
              <c:pt idx="6">
                <c:v>14684.363757179086</c:v>
              </c:pt>
              <c:pt idx="7">
                <c:v>17161.750722379333</c:v>
              </c:pt>
              <c:pt idx="8">
                <c:v>27936.470703730593</c:v>
              </c:pt>
              <c:pt idx="9">
                <c:v>29148.913532272501</c:v>
              </c:pt>
              <c:pt idx="10">
                <c:v>30413.976379573127</c:v>
              </c:pt>
              <c:pt idx="11">
                <c:v>31733.9429544466</c:v>
              </c:pt>
              <c:pt idx="12">
                <c:v>33111.196078669585</c:v>
              </c:pt>
              <c:pt idx="13">
                <c:v>34548.221988483849</c:v>
              </c:pt>
              <c:pt idx="14">
                <c:v>36047.614822784046</c:v>
              </c:pt>
              <c:pt idx="15">
                <c:v>37612.08130609287</c:v>
              </c:pt>
              <c:pt idx="16">
                <c:v>39244.445634777301</c:v>
              </c:pt>
              <c:pt idx="17">
                <c:v>40947.654575326633</c:v>
              </c:pt>
              <c:pt idx="18">
                <c:v>42724.782783895811</c:v>
              </c:pt>
              <c:pt idx="19">
                <c:v>44579.03835671689</c:v>
              </c:pt>
              <c:pt idx="20">
                <c:v>46513.768621398405</c:v>
              </c:pt>
              <c:pt idx="21">
                <c:v>48532.466179567098</c:v>
              </c:pt>
              <c:pt idx="22">
                <c:v>50638.775211760309</c:v>
              </c:pt>
              <c:pt idx="23">
                <c:v>52836.498055950709</c:v>
              </c:pt>
              <c:pt idx="24">
                <c:v>55129.602071578971</c:v>
              </c:pt>
              <c:pt idx="25">
                <c:v>57522.2268014855</c:v>
              </c:pt>
              <c:pt idx="26">
                <c:v>60018.691444669974</c:v>
              </c:pt>
              <c:pt idx="27">
                <c:v>62623.502653368654</c:v>
              </c:pt>
              <c:pt idx="28">
                <c:v>65341.362668524853</c:v>
              </c:pt>
              <c:pt idx="29">
                <c:v>68177.177808338834</c:v>
              </c:pt>
              <c:pt idx="30">
                <c:v>71136.067325220734</c:v>
              </c:pt>
              <c:pt idx="31">
                <c:v>74223.372647135315</c:v>
              </c:pt>
              <c:pt idx="32">
                <c:v>77444.667020020992</c:v>
              </c:pt>
              <c:pt idx="33">
                <c:v>80805.765568689909</c:v>
              </c:pt>
              <c:pt idx="34">
                <c:v>84312.735794371052</c:v>
              </c:pt>
              <c:pt idx="35">
                <c:v>87971.908527846754</c:v>
              </c:pt>
              <c:pt idx="36">
                <c:v>91789.889357955297</c:v>
              </c:pt>
              <c:pt idx="37">
                <c:v>95773.570556090563</c:v>
              </c:pt>
              <c:pt idx="38">
                <c:v>99930.143518224897</c:v>
              </c:pt>
              <c:pt idx="39">
                <c:v>104267.11174691586</c:v>
              </c:pt>
              <c:pt idx="40">
                <c:v>108792.30439673201</c:v>
              </c:pt>
              <c:pt idx="41">
                <c:v>113513.89040755018</c:v>
              </c:pt>
              <c:pt idx="42">
                <c:v>118440.39325123785</c:v>
              </c:pt>
              <c:pt idx="43">
                <c:v>123580.70631834157</c:v>
              </c:pt>
              <c:pt idx="44">
                <c:v>128944.1089725576</c:v>
              </c:pt>
              <c:pt idx="45">
                <c:v>134540.28330196661</c:v>
              </c:pt>
              <c:pt idx="46">
                <c:v>140379.33159727196</c:v>
              </c:pt>
              <c:pt idx="47">
                <c:v>146471.79458859356</c:v>
              </c:pt>
              <c:pt idx="48">
                <c:v>152828.67047373852</c:v>
              </c:pt>
              <c:pt idx="49">
                <c:v>159461.43477229876</c:v>
              </c:pt>
              <c:pt idx="50">
                <c:v>166382.06104141651</c:v>
              </c:pt>
              <c:pt idx="51">
                <c:v>173603.042490614</c:v>
              </c:pt>
              <c:pt idx="52">
                <c:v>181137.41453470665</c:v>
              </c:pt>
              <c:pt idx="53">
                <c:v>188998.77832551292</c:v>
              </c:pt>
              <c:pt idx="54">
                <c:v>197201.32530484017</c:v>
              </c:pt>
              <c:pt idx="55">
                <c:v>205759.86282307023</c:v>
              </c:pt>
              <c:pt idx="56">
                <c:v>214689.84086959148</c:v>
              </c:pt>
              <c:pt idx="57">
                <c:v>224007.37996333174</c:v>
              </c:pt>
              <c:pt idx="58">
                <c:v>233729.30025374034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D00-7045-A163-6CF532192C57}"/>
            </c:ext>
          </c:extLst>
        </c:ser>
        <c:ser>
          <c:idx val="2"/>
          <c:order val="2"/>
          <c:tx>
            <c:v>Grondwaarde</c:v>
          </c:tx>
          <c:marker>
            <c:symbol val="none"/>
          </c:marker>
          <c:cat>
            <c:numLit>
              <c:formatCode>General</c:formatCode>
              <c:ptCount val="71"/>
              <c:pt idx="0">
                <c:v>1977</c:v>
              </c:pt>
              <c:pt idx="1">
                <c:v>1978</c:v>
              </c:pt>
              <c:pt idx="2">
                <c:v>1979</c:v>
              </c:pt>
              <c:pt idx="3">
                <c:v>1980</c:v>
              </c:pt>
              <c:pt idx="4">
                <c:v>1981</c:v>
              </c:pt>
              <c:pt idx="5">
                <c:v>1982</c:v>
              </c:pt>
              <c:pt idx="6">
                <c:v>1983</c:v>
              </c:pt>
              <c:pt idx="7">
                <c:v>1984</c:v>
              </c:pt>
              <c:pt idx="8">
                <c:v>1985</c:v>
              </c:pt>
              <c:pt idx="9">
                <c:v>1986</c:v>
              </c:pt>
              <c:pt idx="10">
                <c:v>1987</c:v>
              </c:pt>
              <c:pt idx="11">
                <c:v>1988</c:v>
              </c:pt>
              <c:pt idx="12">
                <c:v>1989</c:v>
              </c:pt>
              <c:pt idx="13">
                <c:v>1990</c:v>
              </c:pt>
              <c:pt idx="14">
                <c:v>1991</c:v>
              </c:pt>
              <c:pt idx="15">
                <c:v>1992</c:v>
              </c:pt>
              <c:pt idx="16">
                <c:v>1993</c:v>
              </c:pt>
              <c:pt idx="17">
                <c:v>1994</c:v>
              </c:pt>
              <c:pt idx="18">
                <c:v>1995</c:v>
              </c:pt>
              <c:pt idx="19">
                <c:v>1996</c:v>
              </c:pt>
              <c:pt idx="20">
                <c:v>1997</c:v>
              </c:pt>
              <c:pt idx="21">
                <c:v>1998</c:v>
              </c:pt>
              <c:pt idx="22">
                <c:v>1999</c:v>
              </c:pt>
              <c:pt idx="23">
                <c:v>2000</c:v>
              </c:pt>
              <c:pt idx="24">
                <c:v>2001</c:v>
              </c:pt>
              <c:pt idx="25">
                <c:v>2002</c:v>
              </c:pt>
              <c:pt idx="26">
                <c:v>2003</c:v>
              </c:pt>
              <c:pt idx="27">
                <c:v>2004</c:v>
              </c:pt>
              <c:pt idx="28">
                <c:v>2005</c:v>
              </c:pt>
              <c:pt idx="29">
                <c:v>2006</c:v>
              </c:pt>
              <c:pt idx="30">
                <c:v>2007</c:v>
              </c:pt>
              <c:pt idx="31">
                <c:v>2008</c:v>
              </c:pt>
              <c:pt idx="32">
                <c:v>2009</c:v>
              </c:pt>
              <c:pt idx="33">
                <c:v>2010</c:v>
              </c:pt>
              <c:pt idx="34">
                <c:v>2011</c:v>
              </c:pt>
              <c:pt idx="35">
                <c:v>2012</c:v>
              </c:pt>
              <c:pt idx="36">
                <c:v>2013</c:v>
              </c:pt>
              <c:pt idx="37">
                <c:v>2014</c:v>
              </c:pt>
              <c:pt idx="38">
                <c:v>2015</c:v>
              </c:pt>
              <c:pt idx="39">
                <c:v>2016</c:v>
              </c:pt>
              <c:pt idx="40">
                <c:v>2017</c:v>
              </c:pt>
              <c:pt idx="41">
                <c:v>2018</c:v>
              </c:pt>
              <c:pt idx="42">
                <c:v>2019</c:v>
              </c:pt>
              <c:pt idx="43">
                <c:v>2020</c:v>
              </c:pt>
              <c:pt idx="44">
                <c:v>2021</c:v>
              </c:pt>
              <c:pt idx="45">
                <c:v>2022</c:v>
              </c:pt>
              <c:pt idx="46">
                <c:v>2023</c:v>
              </c:pt>
              <c:pt idx="47">
                <c:v>2024</c:v>
              </c:pt>
              <c:pt idx="48">
                <c:v>2025</c:v>
              </c:pt>
              <c:pt idx="49">
                <c:v>2026</c:v>
              </c:pt>
              <c:pt idx="50">
                <c:v>2027</c:v>
              </c:pt>
              <c:pt idx="51">
                <c:v>2028</c:v>
              </c:pt>
              <c:pt idx="52">
                <c:v>2029</c:v>
              </c:pt>
              <c:pt idx="53">
                <c:v>2030</c:v>
              </c:pt>
              <c:pt idx="54">
                <c:v>2031</c:v>
              </c:pt>
              <c:pt idx="55">
                <c:v>2032</c:v>
              </c:pt>
              <c:pt idx="56">
                <c:v>2033</c:v>
              </c:pt>
              <c:pt idx="57">
                <c:v>2034</c:v>
              </c:pt>
              <c:pt idx="58">
                <c:v>2035</c:v>
              </c:pt>
              <c:pt idx="59">
                <c:v>2036</c:v>
              </c:pt>
              <c:pt idx="60">
                <c:v>2037</c:v>
              </c:pt>
              <c:pt idx="61">
                <c:v>2038</c:v>
              </c:pt>
              <c:pt idx="62">
                <c:v>2039</c:v>
              </c:pt>
              <c:pt idx="63">
                <c:v>2040</c:v>
              </c:pt>
              <c:pt idx="64">
                <c:v>2041</c:v>
              </c:pt>
              <c:pt idx="65">
                <c:v>2042</c:v>
              </c:pt>
              <c:pt idx="66">
                <c:v>2043</c:v>
              </c:pt>
              <c:pt idx="67">
                <c:v>2044</c:v>
              </c:pt>
              <c:pt idx="68">
                <c:v>2045</c:v>
              </c:pt>
              <c:pt idx="69">
                <c:v>2046</c:v>
              </c:pt>
              <c:pt idx="70">
                <c:v>2047</c:v>
              </c:pt>
            </c:numLit>
          </c:cat>
          <c:val>
            <c:numLit>
              <c:formatCode>General</c:formatCode>
              <c:ptCount val="59"/>
              <c:pt idx="0">
                <c:v>20445.395312651948</c:v>
              </c:pt>
              <c:pt idx="1">
                <c:v>22854.260429835649</c:v>
              </c:pt>
              <c:pt idx="2">
                <c:v>25263.12554701935</c:v>
              </c:pt>
              <c:pt idx="3">
                <c:v>27671.990664203051</c:v>
              </c:pt>
              <c:pt idx="4">
                <c:v>30080.855781386752</c:v>
              </c:pt>
              <c:pt idx="5">
                <c:v>32489.720898570456</c:v>
              </c:pt>
              <c:pt idx="6">
                <c:v>34898.586015754154</c:v>
              </c:pt>
              <c:pt idx="7">
                <c:v>37307.451132937858</c:v>
              </c:pt>
              <c:pt idx="8">
                <c:v>39716.316250121556</c:v>
              </c:pt>
              <c:pt idx="9">
                <c:v>42125.18136730526</c:v>
              </c:pt>
              <c:pt idx="10">
                <c:v>44534.046484488965</c:v>
              </c:pt>
              <c:pt idx="11">
                <c:v>46942.911601672662</c:v>
              </c:pt>
              <c:pt idx="12">
                <c:v>49351.776718856359</c:v>
              </c:pt>
              <c:pt idx="13">
                <c:v>51760.641836040064</c:v>
              </c:pt>
              <c:pt idx="14">
                <c:v>54169.506953223769</c:v>
              </c:pt>
              <c:pt idx="15">
                <c:v>56578.372070407466</c:v>
              </c:pt>
              <c:pt idx="16">
                <c:v>58987.23718759117</c:v>
              </c:pt>
              <c:pt idx="17">
                <c:v>61396.102304774868</c:v>
              </c:pt>
              <c:pt idx="18">
                <c:v>63804.967421958572</c:v>
              </c:pt>
              <c:pt idx="19">
                <c:v>66213.832539142284</c:v>
              </c:pt>
              <c:pt idx="20">
                <c:v>68622.697656325967</c:v>
              </c:pt>
              <c:pt idx="21">
                <c:v>71031.562773509679</c:v>
              </c:pt>
              <c:pt idx="22">
                <c:v>73440.427890693376</c:v>
              </c:pt>
              <c:pt idx="23">
                <c:v>75849.293007877073</c:v>
              </c:pt>
              <c:pt idx="24">
                <c:v>78258.158125060785</c:v>
              </c:pt>
              <c:pt idx="25">
                <c:v>80667.023242244468</c:v>
              </c:pt>
              <c:pt idx="26">
                <c:v>83075.88835942818</c:v>
              </c:pt>
              <c:pt idx="27">
                <c:v>85484.753476611892</c:v>
              </c:pt>
              <c:pt idx="28">
                <c:v>87893.618593795589</c:v>
              </c:pt>
              <c:pt idx="29">
                <c:v>90302.483710979286</c:v>
              </c:pt>
              <c:pt idx="30">
                <c:v>92711.348828162983</c:v>
              </c:pt>
              <c:pt idx="31">
                <c:v>95120.213945346695</c:v>
              </c:pt>
              <c:pt idx="32">
                <c:v>97529.079062530393</c:v>
              </c:pt>
              <c:pt idx="33">
                <c:v>99937.94417971409</c:v>
              </c:pt>
              <c:pt idx="34">
                <c:v>102346.80929689779</c:v>
              </c:pt>
              <c:pt idx="35">
                <c:v>104755.67441408148</c:v>
              </c:pt>
              <c:pt idx="36">
                <c:v>107164.5395312652</c:v>
              </c:pt>
              <c:pt idx="37">
                <c:v>109573.40464844889</c:v>
              </c:pt>
              <c:pt idx="38">
                <c:v>111982.26976563261</c:v>
              </c:pt>
              <c:pt idx="39">
                <c:v>114391.1348828163</c:v>
              </c:pt>
              <c:pt idx="40">
                <c:v>116800</c:v>
              </c:pt>
              <c:pt idx="41">
                <c:v>119208.8651171837</c:v>
              </c:pt>
              <c:pt idx="42">
                <c:v>121617.73023436741</c:v>
              </c:pt>
              <c:pt idx="43">
                <c:v>124026.59535155111</c:v>
              </c:pt>
              <c:pt idx="44">
                <c:v>126435.4604687348</c:v>
              </c:pt>
              <c:pt idx="45">
                <c:v>128844.3255859185</c:v>
              </c:pt>
              <c:pt idx="46">
                <c:v>131253.19070310221</c:v>
              </c:pt>
              <c:pt idx="47">
                <c:v>133662.05582028592</c:v>
              </c:pt>
              <c:pt idx="48">
                <c:v>136070.92093746961</c:v>
              </c:pt>
              <c:pt idx="49">
                <c:v>138479.78605465329</c:v>
              </c:pt>
              <c:pt idx="50">
                <c:v>140888.651171837</c:v>
              </c:pt>
              <c:pt idx="51">
                <c:v>143297.51628902071</c:v>
              </c:pt>
              <c:pt idx="52">
                <c:v>145706.38140620443</c:v>
              </c:pt>
              <c:pt idx="53">
                <c:v>148115.24652338811</c:v>
              </c:pt>
              <c:pt idx="54">
                <c:v>150524.11164057185</c:v>
              </c:pt>
              <c:pt idx="55">
                <c:v>152932.9767577555</c:v>
              </c:pt>
              <c:pt idx="56">
                <c:v>155341.84187493921</c:v>
              </c:pt>
              <c:pt idx="57">
                <c:v>157750.70699212293</c:v>
              </c:pt>
              <c:pt idx="58">
                <c:v>160159.57210930664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D00-7045-A163-6CF532192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54496"/>
        <c:axId val="45244416"/>
      </c:lineChart>
      <c:lineChart>
        <c:grouping val="standard"/>
        <c:varyColors val="0"/>
        <c:ser>
          <c:idx val="0"/>
          <c:order val="0"/>
          <c:tx>
            <c:v>Betalingen</c:v>
          </c:tx>
          <c:marker>
            <c:symbol val="none"/>
          </c:marker>
          <c:cat>
            <c:numLit>
              <c:formatCode>General</c:formatCode>
              <c:ptCount val="71"/>
              <c:pt idx="0">
                <c:v>1977</c:v>
              </c:pt>
              <c:pt idx="1">
                <c:v>1978</c:v>
              </c:pt>
              <c:pt idx="2">
                <c:v>1979</c:v>
              </c:pt>
              <c:pt idx="3">
                <c:v>1980</c:v>
              </c:pt>
              <c:pt idx="4">
                <c:v>1981</c:v>
              </c:pt>
              <c:pt idx="5">
                <c:v>1982</c:v>
              </c:pt>
              <c:pt idx="6">
                <c:v>1983</c:v>
              </c:pt>
              <c:pt idx="7">
                <c:v>1984</c:v>
              </c:pt>
              <c:pt idx="8">
                <c:v>1985</c:v>
              </c:pt>
              <c:pt idx="9">
                <c:v>1986</c:v>
              </c:pt>
              <c:pt idx="10">
                <c:v>1987</c:v>
              </c:pt>
              <c:pt idx="11">
                <c:v>1988</c:v>
              </c:pt>
              <c:pt idx="12">
                <c:v>1989</c:v>
              </c:pt>
              <c:pt idx="13">
                <c:v>1990</c:v>
              </c:pt>
              <c:pt idx="14">
                <c:v>1991</c:v>
              </c:pt>
              <c:pt idx="15">
                <c:v>1992</c:v>
              </c:pt>
              <c:pt idx="16">
                <c:v>1993</c:v>
              </c:pt>
              <c:pt idx="17">
                <c:v>1994</c:v>
              </c:pt>
              <c:pt idx="18">
                <c:v>1995</c:v>
              </c:pt>
              <c:pt idx="19">
                <c:v>1996</c:v>
              </c:pt>
              <c:pt idx="20">
                <c:v>1997</c:v>
              </c:pt>
              <c:pt idx="21">
                <c:v>1998</c:v>
              </c:pt>
              <c:pt idx="22">
                <c:v>1999</c:v>
              </c:pt>
              <c:pt idx="23">
                <c:v>2000</c:v>
              </c:pt>
              <c:pt idx="24">
                <c:v>2001</c:v>
              </c:pt>
              <c:pt idx="25">
                <c:v>2002</c:v>
              </c:pt>
              <c:pt idx="26">
                <c:v>2003</c:v>
              </c:pt>
              <c:pt idx="27">
                <c:v>2004</c:v>
              </c:pt>
              <c:pt idx="28">
                <c:v>2005</c:v>
              </c:pt>
              <c:pt idx="29">
                <c:v>2006</c:v>
              </c:pt>
              <c:pt idx="30">
                <c:v>2007</c:v>
              </c:pt>
              <c:pt idx="31">
                <c:v>2008</c:v>
              </c:pt>
              <c:pt idx="32">
                <c:v>2009</c:v>
              </c:pt>
              <c:pt idx="33">
                <c:v>2010</c:v>
              </c:pt>
              <c:pt idx="34">
                <c:v>2011</c:v>
              </c:pt>
              <c:pt idx="35">
                <c:v>2012</c:v>
              </c:pt>
              <c:pt idx="36">
                <c:v>2013</c:v>
              </c:pt>
              <c:pt idx="37">
                <c:v>2014</c:v>
              </c:pt>
              <c:pt idx="38">
                <c:v>2015</c:v>
              </c:pt>
              <c:pt idx="39">
                <c:v>2016</c:v>
              </c:pt>
              <c:pt idx="40">
                <c:v>2017</c:v>
              </c:pt>
              <c:pt idx="41">
                <c:v>2018</c:v>
              </c:pt>
              <c:pt idx="42">
                <c:v>2019</c:v>
              </c:pt>
              <c:pt idx="43">
                <c:v>2020</c:v>
              </c:pt>
              <c:pt idx="44">
                <c:v>2021</c:v>
              </c:pt>
              <c:pt idx="45">
                <c:v>2022</c:v>
              </c:pt>
              <c:pt idx="46">
                <c:v>2023</c:v>
              </c:pt>
              <c:pt idx="47">
                <c:v>2024</c:v>
              </c:pt>
              <c:pt idx="48">
                <c:v>2025</c:v>
              </c:pt>
              <c:pt idx="49">
                <c:v>2026</c:v>
              </c:pt>
              <c:pt idx="50">
                <c:v>2027</c:v>
              </c:pt>
              <c:pt idx="51">
                <c:v>2028</c:v>
              </c:pt>
              <c:pt idx="52">
                <c:v>2029</c:v>
              </c:pt>
              <c:pt idx="53">
                <c:v>2030</c:v>
              </c:pt>
              <c:pt idx="54">
                <c:v>2031</c:v>
              </c:pt>
              <c:pt idx="55">
                <c:v>2032</c:v>
              </c:pt>
              <c:pt idx="56">
                <c:v>2033</c:v>
              </c:pt>
              <c:pt idx="57">
                <c:v>2034</c:v>
              </c:pt>
              <c:pt idx="58">
                <c:v>2035</c:v>
              </c:pt>
              <c:pt idx="59">
                <c:v>2036</c:v>
              </c:pt>
              <c:pt idx="60">
                <c:v>2037</c:v>
              </c:pt>
              <c:pt idx="61">
                <c:v>2038</c:v>
              </c:pt>
              <c:pt idx="62">
                <c:v>2039</c:v>
              </c:pt>
              <c:pt idx="63">
                <c:v>2040</c:v>
              </c:pt>
              <c:pt idx="64">
                <c:v>2041</c:v>
              </c:pt>
              <c:pt idx="65">
                <c:v>2042</c:v>
              </c:pt>
              <c:pt idx="66">
                <c:v>2043</c:v>
              </c:pt>
              <c:pt idx="67">
                <c:v>2044</c:v>
              </c:pt>
              <c:pt idx="68">
                <c:v>2045</c:v>
              </c:pt>
              <c:pt idx="69">
                <c:v>2046</c:v>
              </c:pt>
              <c:pt idx="70">
                <c:v>2047</c:v>
              </c:pt>
            </c:numLit>
          </c:cat>
          <c:val>
            <c:numLit>
              <c:formatCode>General</c:formatCode>
              <c:ptCount val="9"/>
              <c:pt idx="0">
                <c:v>1840.0855781386754</c:v>
              </c:pt>
              <c:pt idx="1">
                <c:v>1840.0855781386754</c:v>
              </c:pt>
              <c:pt idx="2">
                <c:v>1840.0855781386754</c:v>
              </c:pt>
              <c:pt idx="3">
                <c:v>1840.0855781386754</c:v>
              </c:pt>
              <c:pt idx="4">
                <c:v>1840.0855781386754</c:v>
              </c:pt>
              <c:pt idx="5">
                <c:v>1840.0855781386754</c:v>
              </c:pt>
              <c:pt idx="6">
                <c:v>1840.0855781386754</c:v>
              </c:pt>
              <c:pt idx="7">
                <c:v>1840.0855781386754</c:v>
              </c:pt>
              <c:pt idx="8">
                <c:v>10029.9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D00-7045-A163-6CF532192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47488"/>
        <c:axId val="45245952"/>
      </c:lineChart>
      <c:catAx>
        <c:axId val="44554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5244416"/>
        <c:crosses val="autoZero"/>
        <c:auto val="1"/>
        <c:lblAlgn val="ctr"/>
        <c:lblOffset val="100"/>
        <c:noMultiLvlLbl val="0"/>
      </c:catAx>
      <c:valAx>
        <c:axId val="45244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54496"/>
        <c:crosses val="autoZero"/>
        <c:crossBetween val="between"/>
      </c:valAx>
      <c:valAx>
        <c:axId val="452459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5247488"/>
        <c:crosses val="max"/>
        <c:crossBetween val="between"/>
      </c:valAx>
      <c:catAx>
        <c:axId val="45247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5245952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v>Waarde</c:v>
          </c:tx>
          <c:marker>
            <c:symbol val="none"/>
          </c:marker>
          <c:cat>
            <c:numLit>
              <c:formatCode>General</c:formatCode>
              <c:ptCount val="71"/>
              <c:pt idx="0">
                <c:v>1977</c:v>
              </c:pt>
              <c:pt idx="1">
                <c:v>1978</c:v>
              </c:pt>
              <c:pt idx="2">
                <c:v>1979</c:v>
              </c:pt>
              <c:pt idx="3">
                <c:v>1980</c:v>
              </c:pt>
              <c:pt idx="4">
                <c:v>1981</c:v>
              </c:pt>
              <c:pt idx="5">
                <c:v>1982</c:v>
              </c:pt>
              <c:pt idx="6">
                <c:v>1983</c:v>
              </c:pt>
              <c:pt idx="7">
                <c:v>1984</c:v>
              </c:pt>
              <c:pt idx="8">
                <c:v>1985</c:v>
              </c:pt>
              <c:pt idx="9">
                <c:v>1986</c:v>
              </c:pt>
              <c:pt idx="10">
                <c:v>1987</c:v>
              </c:pt>
              <c:pt idx="11">
                <c:v>1988</c:v>
              </c:pt>
              <c:pt idx="12">
                <c:v>1989</c:v>
              </c:pt>
              <c:pt idx="13">
                <c:v>1990</c:v>
              </c:pt>
              <c:pt idx="14">
                <c:v>1991</c:v>
              </c:pt>
              <c:pt idx="15">
                <c:v>1992</c:v>
              </c:pt>
              <c:pt idx="16">
                <c:v>1993</c:v>
              </c:pt>
              <c:pt idx="17">
                <c:v>1994</c:v>
              </c:pt>
              <c:pt idx="18">
                <c:v>1995</c:v>
              </c:pt>
              <c:pt idx="19">
                <c:v>1996</c:v>
              </c:pt>
              <c:pt idx="20">
                <c:v>1997</c:v>
              </c:pt>
              <c:pt idx="21">
                <c:v>1998</c:v>
              </c:pt>
              <c:pt idx="22">
                <c:v>1999</c:v>
              </c:pt>
              <c:pt idx="23">
                <c:v>2000</c:v>
              </c:pt>
              <c:pt idx="24">
                <c:v>2001</c:v>
              </c:pt>
              <c:pt idx="25">
                <c:v>2002</c:v>
              </c:pt>
              <c:pt idx="26">
                <c:v>2003</c:v>
              </c:pt>
              <c:pt idx="27">
                <c:v>2004</c:v>
              </c:pt>
              <c:pt idx="28">
                <c:v>2005</c:v>
              </c:pt>
              <c:pt idx="29">
                <c:v>2006</c:v>
              </c:pt>
              <c:pt idx="30">
                <c:v>2007</c:v>
              </c:pt>
              <c:pt idx="31">
                <c:v>2008</c:v>
              </c:pt>
              <c:pt idx="32">
                <c:v>2009</c:v>
              </c:pt>
              <c:pt idx="33">
                <c:v>2010</c:v>
              </c:pt>
              <c:pt idx="34">
                <c:v>2011</c:v>
              </c:pt>
              <c:pt idx="35">
                <c:v>2012</c:v>
              </c:pt>
              <c:pt idx="36">
                <c:v>2013</c:v>
              </c:pt>
              <c:pt idx="37">
                <c:v>2014</c:v>
              </c:pt>
              <c:pt idx="38">
                <c:v>2015</c:v>
              </c:pt>
              <c:pt idx="39">
                <c:v>2016</c:v>
              </c:pt>
              <c:pt idx="40">
                <c:v>2017</c:v>
              </c:pt>
              <c:pt idx="41">
                <c:v>2018</c:v>
              </c:pt>
              <c:pt idx="42">
                <c:v>2019</c:v>
              </c:pt>
              <c:pt idx="43">
                <c:v>2020</c:v>
              </c:pt>
              <c:pt idx="44">
                <c:v>2021</c:v>
              </c:pt>
              <c:pt idx="45">
                <c:v>2022</c:v>
              </c:pt>
              <c:pt idx="46">
                <c:v>2023</c:v>
              </c:pt>
              <c:pt idx="47">
                <c:v>2024</c:v>
              </c:pt>
              <c:pt idx="48">
                <c:v>2025</c:v>
              </c:pt>
              <c:pt idx="49">
                <c:v>2026</c:v>
              </c:pt>
              <c:pt idx="50">
                <c:v>2027</c:v>
              </c:pt>
              <c:pt idx="51">
                <c:v>2028</c:v>
              </c:pt>
              <c:pt idx="52">
                <c:v>2029</c:v>
              </c:pt>
              <c:pt idx="53">
                <c:v>2030</c:v>
              </c:pt>
              <c:pt idx="54">
                <c:v>2031</c:v>
              </c:pt>
              <c:pt idx="55">
                <c:v>2032</c:v>
              </c:pt>
              <c:pt idx="56">
                <c:v>2033</c:v>
              </c:pt>
              <c:pt idx="57">
                <c:v>2034</c:v>
              </c:pt>
              <c:pt idx="58">
                <c:v>2035</c:v>
              </c:pt>
              <c:pt idx="59">
                <c:v>2036</c:v>
              </c:pt>
              <c:pt idx="60">
                <c:v>2037</c:v>
              </c:pt>
              <c:pt idx="61">
                <c:v>2038</c:v>
              </c:pt>
              <c:pt idx="62">
                <c:v>2039</c:v>
              </c:pt>
              <c:pt idx="63">
                <c:v>2040</c:v>
              </c:pt>
              <c:pt idx="64">
                <c:v>2041</c:v>
              </c:pt>
              <c:pt idx="65">
                <c:v>2042</c:v>
              </c:pt>
              <c:pt idx="66">
                <c:v>2043</c:v>
              </c:pt>
              <c:pt idx="67">
                <c:v>2044</c:v>
              </c:pt>
              <c:pt idx="68">
                <c:v>2045</c:v>
              </c:pt>
              <c:pt idx="69">
                <c:v>2046</c:v>
              </c:pt>
              <c:pt idx="70">
                <c:v>2047</c:v>
              </c:pt>
            </c:numLit>
          </c:cat>
          <c:val>
            <c:numLit>
              <c:formatCode>General</c:formatCode>
              <c:ptCount val="51"/>
              <c:pt idx="0">
                <c:v>2205.5820285908781</c:v>
              </c:pt>
              <c:pt idx="1">
                <c:v>4506.8863172226002</c:v>
              </c:pt>
              <c:pt idx="2">
                <c:v>6908.0672119809387</c:v>
              </c:pt>
              <c:pt idx="3">
                <c:v>9413.45935757179</c:v>
              </c:pt>
              <c:pt idx="4">
                <c:v>12027.585522281282</c:v>
              </c:pt>
              <c:pt idx="5">
                <c:v>14755.164762539167</c:v>
              </c:pt>
              <c:pt idx="6">
                <c:v>17601.120941824247</c:v>
              </c:pt>
              <c:pt idx="7">
                <c:v>20570.591619290295</c:v>
              </c:pt>
              <c:pt idx="8">
                <c:v>23668.937324158371</c:v>
              </c:pt>
              <c:pt idx="9">
                <c:v>26901.75123261772</c:v>
              </c:pt>
              <c:pt idx="10">
                <c:v>30274.869264704208</c:v>
              </c:pt>
              <c:pt idx="11">
                <c:v>33794.38061938325</c:v>
              </c:pt>
              <c:pt idx="12">
                <c:v>37466.638766855358</c:v>
              </c:pt>
              <c:pt idx="13">
                <c:v>41298.272917927759</c:v>
              </c:pt>
              <c:pt idx="14">
                <c:v>45296.199991156704</c:v>
              </c:pt>
              <c:pt idx="15">
                <c:v>49467.637099363783</c:v>
              </c:pt>
              <c:pt idx="16">
                <c:v>53820.114578067049</c:v>
              </c:pt>
              <c:pt idx="17">
                <c:v>58361.489579346038</c:v>
              </c:pt>
              <c:pt idx="18">
                <c:v>63099.960255680533</c:v>
              </c:pt>
              <c:pt idx="19">
                <c:v>68044.080559367954</c:v>
              </c:pt>
              <c:pt idx="20">
                <c:v>73202.563655644524</c:v>
              </c:pt>
              <c:pt idx="21">
                <c:v>78584.924918299497</c:v>
              </c:pt>
              <c:pt idx="22">
                <c:v>84200.88065975369</c:v>
              </c:pt>
              <c:pt idx="23">
                <c:v>90060.568880387</c:v>
              </c:pt>
              <c:pt idx="24">
                <c:v>96174.567569795792</c:v>
              </c:pt>
              <c:pt idx="25">
                <c:v>102553.91380232493</c:v>
              </c:pt>
              <c:pt idx="26">
                <c:v>159004.75366134581</c:v>
              </c:pt>
              <c:pt idx="27">
                <c:v>165905.55997024823</c:v>
              </c:pt>
              <c:pt idx="28">
                <c:v>173105.861272957</c:v>
              </c:pt>
              <c:pt idx="29">
                <c:v>180618.65565220334</c:v>
              </c:pt>
              <c:pt idx="30">
                <c:v>188457.50530750895</c:v>
              </c:pt>
              <c:pt idx="31">
                <c:v>196636.56103785484</c:v>
              </c:pt>
              <c:pt idx="32">
                <c:v>205170.58778689775</c:v>
              </c:pt>
              <c:pt idx="33">
                <c:v>214074.99129684913</c:v>
              </c:pt>
              <c:pt idx="34">
                <c:v>223365.84591913238</c:v>
              </c:pt>
              <c:pt idx="35">
                <c:v>233059.92363202272</c:v>
              </c:pt>
              <c:pt idx="36">
                <c:v>243174.72431765252</c:v>
              </c:pt>
              <c:pt idx="37">
                <c:v>253728.50735303864</c:v>
              </c:pt>
              <c:pt idx="38">
                <c:v>264740.32457216055</c:v>
              </c:pt>
              <c:pt idx="39">
                <c:v>276230.05465859233</c:v>
              </c:pt>
              <c:pt idx="40">
                <c:v>288218.43903077522</c:v>
              </c:pt>
              <c:pt idx="41">
                <c:v>300727.11928471085</c:v>
              </c:pt>
              <c:pt idx="42">
                <c:v>313778.67626166728</c:v>
              </c:pt>
              <c:pt idx="43">
                <c:v>327396.67081142362</c:v>
              </c:pt>
              <c:pt idx="44">
                <c:v>341605.68632463942</c:v>
              </c:pt>
              <c:pt idx="45">
                <c:v>356431.37311112875</c:v>
              </c:pt>
              <c:pt idx="46">
                <c:v>371900.49470415176</c:v>
              </c:pt>
              <c:pt idx="47">
                <c:v>388040.97617431195</c:v>
              </c:pt>
              <c:pt idx="48">
                <c:v>404881.95454027707</c:v>
              </c:pt>
              <c:pt idx="49">
                <c:v>422453.8313673251</c:v>
              </c:pt>
              <c:pt idx="50">
                <c:v>440788.32764866698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12D-254D-A088-8357F01476E9}"/>
            </c:ext>
          </c:extLst>
        </c:ser>
        <c:ser>
          <c:idx val="2"/>
          <c:order val="2"/>
          <c:tx>
            <c:v>Grondwaarde</c:v>
          </c:tx>
          <c:marker>
            <c:symbol val="none"/>
          </c:marker>
          <c:cat>
            <c:numLit>
              <c:formatCode>General</c:formatCode>
              <c:ptCount val="71"/>
              <c:pt idx="0">
                <c:v>1977</c:v>
              </c:pt>
              <c:pt idx="1">
                <c:v>1978</c:v>
              </c:pt>
              <c:pt idx="2">
                <c:v>1979</c:v>
              </c:pt>
              <c:pt idx="3">
                <c:v>1980</c:v>
              </c:pt>
              <c:pt idx="4">
                <c:v>1981</c:v>
              </c:pt>
              <c:pt idx="5">
                <c:v>1982</c:v>
              </c:pt>
              <c:pt idx="6">
                <c:v>1983</c:v>
              </c:pt>
              <c:pt idx="7">
                <c:v>1984</c:v>
              </c:pt>
              <c:pt idx="8">
                <c:v>1985</c:v>
              </c:pt>
              <c:pt idx="9">
                <c:v>1986</c:v>
              </c:pt>
              <c:pt idx="10">
                <c:v>1987</c:v>
              </c:pt>
              <c:pt idx="11">
                <c:v>1988</c:v>
              </c:pt>
              <c:pt idx="12">
                <c:v>1989</c:v>
              </c:pt>
              <c:pt idx="13">
                <c:v>1990</c:v>
              </c:pt>
              <c:pt idx="14">
                <c:v>1991</c:v>
              </c:pt>
              <c:pt idx="15">
                <c:v>1992</c:v>
              </c:pt>
              <c:pt idx="16">
                <c:v>1993</c:v>
              </c:pt>
              <c:pt idx="17">
                <c:v>1994</c:v>
              </c:pt>
              <c:pt idx="18">
                <c:v>1995</c:v>
              </c:pt>
              <c:pt idx="19">
                <c:v>1996</c:v>
              </c:pt>
              <c:pt idx="20">
                <c:v>1997</c:v>
              </c:pt>
              <c:pt idx="21">
                <c:v>1998</c:v>
              </c:pt>
              <c:pt idx="22">
                <c:v>1999</c:v>
              </c:pt>
              <c:pt idx="23">
                <c:v>2000</c:v>
              </c:pt>
              <c:pt idx="24">
                <c:v>2001</c:v>
              </c:pt>
              <c:pt idx="25">
                <c:v>2002</c:v>
              </c:pt>
              <c:pt idx="26">
                <c:v>2003</c:v>
              </c:pt>
              <c:pt idx="27">
                <c:v>2004</c:v>
              </c:pt>
              <c:pt idx="28">
                <c:v>2005</c:v>
              </c:pt>
              <c:pt idx="29">
                <c:v>2006</c:v>
              </c:pt>
              <c:pt idx="30">
                <c:v>2007</c:v>
              </c:pt>
              <c:pt idx="31">
                <c:v>2008</c:v>
              </c:pt>
              <c:pt idx="32">
                <c:v>2009</c:v>
              </c:pt>
              <c:pt idx="33">
                <c:v>2010</c:v>
              </c:pt>
              <c:pt idx="34">
                <c:v>2011</c:v>
              </c:pt>
              <c:pt idx="35">
                <c:v>2012</c:v>
              </c:pt>
              <c:pt idx="36">
                <c:v>2013</c:v>
              </c:pt>
              <c:pt idx="37">
                <c:v>2014</c:v>
              </c:pt>
              <c:pt idx="38">
                <c:v>2015</c:v>
              </c:pt>
              <c:pt idx="39">
                <c:v>2016</c:v>
              </c:pt>
              <c:pt idx="40">
                <c:v>2017</c:v>
              </c:pt>
              <c:pt idx="41">
                <c:v>2018</c:v>
              </c:pt>
              <c:pt idx="42">
                <c:v>2019</c:v>
              </c:pt>
              <c:pt idx="43">
                <c:v>2020</c:v>
              </c:pt>
              <c:pt idx="44">
                <c:v>2021</c:v>
              </c:pt>
              <c:pt idx="45">
                <c:v>2022</c:v>
              </c:pt>
              <c:pt idx="46">
                <c:v>2023</c:v>
              </c:pt>
              <c:pt idx="47">
                <c:v>2024</c:v>
              </c:pt>
              <c:pt idx="48">
                <c:v>2025</c:v>
              </c:pt>
              <c:pt idx="49">
                <c:v>2026</c:v>
              </c:pt>
              <c:pt idx="50">
                <c:v>2027</c:v>
              </c:pt>
              <c:pt idx="51">
                <c:v>2028</c:v>
              </c:pt>
              <c:pt idx="52">
                <c:v>2029</c:v>
              </c:pt>
              <c:pt idx="53">
                <c:v>2030</c:v>
              </c:pt>
              <c:pt idx="54">
                <c:v>2031</c:v>
              </c:pt>
              <c:pt idx="55">
                <c:v>2032</c:v>
              </c:pt>
              <c:pt idx="56">
                <c:v>2033</c:v>
              </c:pt>
              <c:pt idx="57">
                <c:v>2034</c:v>
              </c:pt>
              <c:pt idx="58">
                <c:v>2035</c:v>
              </c:pt>
              <c:pt idx="59">
                <c:v>2036</c:v>
              </c:pt>
              <c:pt idx="60">
                <c:v>2037</c:v>
              </c:pt>
              <c:pt idx="61">
                <c:v>2038</c:v>
              </c:pt>
              <c:pt idx="62">
                <c:v>2039</c:v>
              </c:pt>
              <c:pt idx="63">
                <c:v>2040</c:v>
              </c:pt>
              <c:pt idx="64">
                <c:v>2041</c:v>
              </c:pt>
              <c:pt idx="65">
                <c:v>2042</c:v>
              </c:pt>
              <c:pt idx="66">
                <c:v>2043</c:v>
              </c:pt>
              <c:pt idx="67">
                <c:v>2044</c:v>
              </c:pt>
              <c:pt idx="68">
                <c:v>2045</c:v>
              </c:pt>
              <c:pt idx="69">
                <c:v>2046</c:v>
              </c:pt>
              <c:pt idx="70">
                <c:v>2047</c:v>
              </c:pt>
            </c:numLit>
          </c:cat>
          <c:val>
            <c:numLit>
              <c:formatCode>General</c:formatCode>
              <c:ptCount val="51"/>
              <c:pt idx="0">
                <c:v>24506.466984343089</c:v>
              </c:pt>
              <c:pt idx="1">
                <c:v>27393.805309734511</c:v>
              </c:pt>
              <c:pt idx="2">
                <c:v>30281.143635125933</c:v>
              </c:pt>
              <c:pt idx="3">
                <c:v>33168.481960517354</c:v>
              </c:pt>
              <c:pt idx="4">
                <c:v>36055.820285908776</c:v>
              </c:pt>
              <c:pt idx="5">
                <c:v>38943.158611300205</c:v>
              </c:pt>
              <c:pt idx="6">
                <c:v>41830.496936691627</c:v>
              </c:pt>
              <c:pt idx="7">
                <c:v>44717.835262083048</c:v>
              </c:pt>
              <c:pt idx="8">
                <c:v>47605.17358747447</c:v>
              </c:pt>
              <c:pt idx="9">
                <c:v>50492.511912865892</c:v>
              </c:pt>
              <c:pt idx="10">
                <c:v>53379.850238257321</c:v>
              </c:pt>
              <c:pt idx="11">
                <c:v>56267.188563648742</c:v>
              </c:pt>
              <c:pt idx="12">
                <c:v>59154.526889040164</c:v>
              </c:pt>
              <c:pt idx="13">
                <c:v>62041.865214431586</c:v>
              </c:pt>
              <c:pt idx="14">
                <c:v>64929.203539823007</c:v>
              </c:pt>
              <c:pt idx="15">
                <c:v>67816.541865214429</c:v>
              </c:pt>
              <c:pt idx="16">
                <c:v>70703.880190605851</c:v>
              </c:pt>
              <c:pt idx="17">
                <c:v>73591.218515997287</c:v>
              </c:pt>
              <c:pt idx="18">
                <c:v>76478.556841388694</c:v>
              </c:pt>
              <c:pt idx="19">
                <c:v>79365.89516678013</c:v>
              </c:pt>
              <c:pt idx="20">
                <c:v>82253.233492171537</c:v>
              </c:pt>
              <c:pt idx="21">
                <c:v>85140.571817562974</c:v>
              </c:pt>
              <c:pt idx="22">
                <c:v>88027.910142954395</c:v>
              </c:pt>
              <c:pt idx="23">
                <c:v>90915.248468345817</c:v>
              </c:pt>
              <c:pt idx="24">
                <c:v>93802.586793737239</c:v>
              </c:pt>
              <c:pt idx="25">
                <c:v>96689.92511912866</c:v>
              </c:pt>
              <c:pt idx="26">
                <c:v>99577.263444520082</c:v>
              </c:pt>
              <c:pt idx="27">
                <c:v>102464.6017699115</c:v>
              </c:pt>
              <c:pt idx="28">
                <c:v>105351.94009530293</c:v>
              </c:pt>
              <c:pt idx="29">
                <c:v>108239.27842069435</c:v>
              </c:pt>
              <c:pt idx="30">
                <c:v>111126.61674608577</c:v>
              </c:pt>
              <c:pt idx="31">
                <c:v>114013.9550714772</c:v>
              </c:pt>
              <c:pt idx="32">
                <c:v>116901.29339686861</c:v>
              </c:pt>
              <c:pt idx="33">
                <c:v>119788.63172226003</c:v>
              </c:pt>
              <c:pt idx="34">
                <c:v>122675.97004765147</c:v>
              </c:pt>
              <c:pt idx="35">
                <c:v>125563.30837304289</c:v>
              </c:pt>
              <c:pt idx="36">
                <c:v>128450.6466984343</c:v>
              </c:pt>
              <c:pt idx="37">
                <c:v>131337.98502382572</c:v>
              </c:pt>
              <c:pt idx="38">
                <c:v>134225.32334921719</c:v>
              </c:pt>
              <c:pt idx="39">
                <c:v>137112.66167460859</c:v>
              </c:pt>
              <c:pt idx="40">
                <c:v>140000</c:v>
              </c:pt>
              <c:pt idx="41">
                <c:v>142887.33832539144</c:v>
              </c:pt>
              <c:pt idx="42">
                <c:v>145774.67665078284</c:v>
              </c:pt>
              <c:pt idx="43">
                <c:v>148662.01497617428</c:v>
              </c:pt>
              <c:pt idx="44">
                <c:v>151549.35330156569</c:v>
              </c:pt>
              <c:pt idx="45">
                <c:v>154436.69162695709</c:v>
              </c:pt>
              <c:pt idx="46">
                <c:v>157324.02995234856</c:v>
              </c:pt>
              <c:pt idx="47">
                <c:v>160211.36827773997</c:v>
              </c:pt>
              <c:pt idx="48">
                <c:v>163098.70660313137</c:v>
              </c:pt>
              <c:pt idx="49">
                <c:v>165986.04492852278</c:v>
              </c:pt>
              <c:pt idx="50">
                <c:v>168873.38325391422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12D-254D-A088-8357F0147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11616"/>
        <c:axId val="48517504"/>
      </c:lineChart>
      <c:lineChart>
        <c:grouping val="standard"/>
        <c:varyColors val="0"/>
        <c:ser>
          <c:idx val="0"/>
          <c:order val="0"/>
          <c:tx>
            <c:v>Betalingen </c:v>
          </c:tx>
          <c:marker>
            <c:symbol val="none"/>
          </c:marker>
          <c:cat>
            <c:numLit>
              <c:formatCode>General</c:formatCode>
              <c:ptCount val="71"/>
              <c:pt idx="0">
                <c:v>1977</c:v>
              </c:pt>
              <c:pt idx="1">
                <c:v>1978</c:v>
              </c:pt>
              <c:pt idx="2">
                <c:v>1979</c:v>
              </c:pt>
              <c:pt idx="3">
                <c:v>1980</c:v>
              </c:pt>
              <c:pt idx="4">
                <c:v>1981</c:v>
              </c:pt>
              <c:pt idx="5">
                <c:v>1982</c:v>
              </c:pt>
              <c:pt idx="6">
                <c:v>1983</c:v>
              </c:pt>
              <c:pt idx="7">
                <c:v>1984</c:v>
              </c:pt>
              <c:pt idx="8">
                <c:v>1985</c:v>
              </c:pt>
              <c:pt idx="9">
                <c:v>1986</c:v>
              </c:pt>
              <c:pt idx="10">
                <c:v>1987</c:v>
              </c:pt>
              <c:pt idx="11">
                <c:v>1988</c:v>
              </c:pt>
              <c:pt idx="12">
                <c:v>1989</c:v>
              </c:pt>
              <c:pt idx="13">
                <c:v>1990</c:v>
              </c:pt>
              <c:pt idx="14">
                <c:v>1991</c:v>
              </c:pt>
              <c:pt idx="15">
                <c:v>1992</c:v>
              </c:pt>
              <c:pt idx="16">
                <c:v>1993</c:v>
              </c:pt>
              <c:pt idx="17">
                <c:v>1994</c:v>
              </c:pt>
              <c:pt idx="18">
                <c:v>1995</c:v>
              </c:pt>
              <c:pt idx="19">
                <c:v>1996</c:v>
              </c:pt>
              <c:pt idx="20">
                <c:v>1997</c:v>
              </c:pt>
              <c:pt idx="21">
                <c:v>1998</c:v>
              </c:pt>
              <c:pt idx="22">
                <c:v>1999</c:v>
              </c:pt>
              <c:pt idx="23">
                <c:v>2000</c:v>
              </c:pt>
              <c:pt idx="24">
                <c:v>2001</c:v>
              </c:pt>
              <c:pt idx="25">
                <c:v>2002</c:v>
              </c:pt>
              <c:pt idx="26">
                <c:v>2003</c:v>
              </c:pt>
              <c:pt idx="27">
                <c:v>2004</c:v>
              </c:pt>
              <c:pt idx="28">
                <c:v>2005</c:v>
              </c:pt>
              <c:pt idx="29">
                <c:v>2006</c:v>
              </c:pt>
              <c:pt idx="30">
                <c:v>2007</c:v>
              </c:pt>
              <c:pt idx="31">
                <c:v>2008</c:v>
              </c:pt>
              <c:pt idx="32">
                <c:v>2009</c:v>
              </c:pt>
              <c:pt idx="33">
                <c:v>2010</c:v>
              </c:pt>
              <c:pt idx="34">
                <c:v>2011</c:v>
              </c:pt>
              <c:pt idx="35">
                <c:v>2012</c:v>
              </c:pt>
              <c:pt idx="36">
                <c:v>2013</c:v>
              </c:pt>
              <c:pt idx="37">
                <c:v>2014</c:v>
              </c:pt>
              <c:pt idx="38">
                <c:v>2015</c:v>
              </c:pt>
              <c:pt idx="39">
                <c:v>2016</c:v>
              </c:pt>
              <c:pt idx="40">
                <c:v>2017</c:v>
              </c:pt>
              <c:pt idx="41">
                <c:v>2018</c:v>
              </c:pt>
              <c:pt idx="42">
                <c:v>2019</c:v>
              </c:pt>
              <c:pt idx="43">
                <c:v>2020</c:v>
              </c:pt>
              <c:pt idx="44">
                <c:v>2021</c:v>
              </c:pt>
              <c:pt idx="45">
                <c:v>2022</c:v>
              </c:pt>
              <c:pt idx="46">
                <c:v>2023</c:v>
              </c:pt>
              <c:pt idx="47">
                <c:v>2024</c:v>
              </c:pt>
              <c:pt idx="48">
                <c:v>2025</c:v>
              </c:pt>
              <c:pt idx="49">
                <c:v>2026</c:v>
              </c:pt>
              <c:pt idx="50">
                <c:v>2027</c:v>
              </c:pt>
              <c:pt idx="51">
                <c:v>2028</c:v>
              </c:pt>
              <c:pt idx="52">
                <c:v>2029</c:v>
              </c:pt>
              <c:pt idx="53">
                <c:v>2030</c:v>
              </c:pt>
              <c:pt idx="54">
                <c:v>2031</c:v>
              </c:pt>
              <c:pt idx="55">
                <c:v>2032</c:v>
              </c:pt>
              <c:pt idx="56">
                <c:v>2033</c:v>
              </c:pt>
              <c:pt idx="57">
                <c:v>2034</c:v>
              </c:pt>
              <c:pt idx="58">
                <c:v>2035</c:v>
              </c:pt>
              <c:pt idx="59">
                <c:v>2036</c:v>
              </c:pt>
              <c:pt idx="60">
                <c:v>2037</c:v>
              </c:pt>
              <c:pt idx="61">
                <c:v>2038</c:v>
              </c:pt>
              <c:pt idx="62">
                <c:v>2039</c:v>
              </c:pt>
              <c:pt idx="63">
                <c:v>2040</c:v>
              </c:pt>
              <c:pt idx="64">
                <c:v>2041</c:v>
              </c:pt>
              <c:pt idx="65">
                <c:v>2042</c:v>
              </c:pt>
              <c:pt idx="66">
                <c:v>2043</c:v>
              </c:pt>
              <c:pt idx="67">
                <c:v>2044</c:v>
              </c:pt>
              <c:pt idx="68">
                <c:v>2045</c:v>
              </c:pt>
              <c:pt idx="69">
                <c:v>2046</c:v>
              </c:pt>
              <c:pt idx="70">
                <c:v>2047</c:v>
              </c:pt>
            </c:numLit>
          </c:cat>
          <c:val>
            <c:numLit>
              <c:formatCode>General</c:formatCode>
              <c:ptCount val="27"/>
              <c:pt idx="0">
                <c:v>2205.5820285908781</c:v>
              </c:pt>
              <c:pt idx="1">
                <c:v>2205.5820285908781</c:v>
              </c:pt>
              <c:pt idx="2">
                <c:v>2205.5820285908781</c:v>
              </c:pt>
              <c:pt idx="3">
                <c:v>2205.5820285908781</c:v>
              </c:pt>
              <c:pt idx="4">
                <c:v>2205.5820285908781</c:v>
              </c:pt>
              <c:pt idx="5">
                <c:v>2205.5820285908781</c:v>
              </c:pt>
              <c:pt idx="6">
                <c:v>2205.5820285908781</c:v>
              </c:pt>
              <c:pt idx="7">
                <c:v>2205.5820285908781</c:v>
              </c:pt>
              <c:pt idx="8">
                <c:v>2205.5820285908781</c:v>
              </c:pt>
              <c:pt idx="9">
                <c:v>2205.5820285908781</c:v>
              </c:pt>
              <c:pt idx="10">
                <c:v>2205.5820285908781</c:v>
              </c:pt>
              <c:pt idx="11">
                <c:v>2205.5820285908781</c:v>
              </c:pt>
              <c:pt idx="12">
                <c:v>2205.5820285908781</c:v>
              </c:pt>
              <c:pt idx="13">
                <c:v>2205.5820285908781</c:v>
              </c:pt>
              <c:pt idx="14">
                <c:v>2205.5820285908781</c:v>
              </c:pt>
              <c:pt idx="15">
                <c:v>2205.5820285908781</c:v>
              </c:pt>
              <c:pt idx="16">
                <c:v>2205.5820285908781</c:v>
              </c:pt>
              <c:pt idx="17">
                <c:v>2205.5820285908781</c:v>
              </c:pt>
              <c:pt idx="18">
                <c:v>2205.5820285908781</c:v>
              </c:pt>
              <c:pt idx="19">
                <c:v>2205.5820285908781</c:v>
              </c:pt>
              <c:pt idx="20">
                <c:v>2205.37</c:v>
              </c:pt>
              <c:pt idx="21">
                <c:v>2205.37</c:v>
              </c:pt>
              <c:pt idx="22">
                <c:v>2205.37</c:v>
              </c:pt>
              <c:pt idx="23">
                <c:v>2205.37</c:v>
              </c:pt>
              <c:pt idx="24">
                <c:v>2205.37</c:v>
              </c:pt>
              <c:pt idx="25">
                <c:v>2205.37</c:v>
              </c:pt>
              <c:pt idx="26">
                <c:v>52000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12D-254D-A088-8357F0147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20576"/>
        <c:axId val="48519040"/>
      </c:lineChart>
      <c:catAx>
        <c:axId val="48511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517504"/>
        <c:crosses val="autoZero"/>
        <c:auto val="1"/>
        <c:lblAlgn val="ctr"/>
        <c:lblOffset val="100"/>
        <c:noMultiLvlLbl val="0"/>
      </c:catAx>
      <c:valAx>
        <c:axId val="48517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511616"/>
        <c:crosses val="autoZero"/>
        <c:crossBetween val="between"/>
      </c:valAx>
      <c:valAx>
        <c:axId val="485190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8520576"/>
        <c:crosses val="max"/>
        <c:crossBetween val="between"/>
      </c:valAx>
      <c:catAx>
        <c:axId val="48520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8519040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79</xdr:row>
      <xdr:rowOff>11906</xdr:rowOff>
    </xdr:from>
    <xdr:to>
      <xdr:col>5</xdr:col>
      <xdr:colOff>810985</xdr:colOff>
      <xdr:row>95</xdr:row>
      <xdr:rowOff>111238</xdr:rowOff>
    </xdr:to>
    <xdr:graphicFrame macro="">
      <xdr:nvGraphicFramePr>
        <xdr:cNvPr id="7" name="Chart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79</xdr:row>
      <xdr:rowOff>0</xdr:rowOff>
    </xdr:from>
    <xdr:to>
      <xdr:col>12</xdr:col>
      <xdr:colOff>129267</xdr:colOff>
      <xdr:row>95</xdr:row>
      <xdr:rowOff>97971</xdr:rowOff>
    </xdr:to>
    <xdr:graphicFrame macro="">
      <xdr:nvGraphicFramePr>
        <xdr:cNvPr id="8" name="Chart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79</xdr:row>
      <xdr:rowOff>0</xdr:rowOff>
    </xdr:from>
    <xdr:to>
      <xdr:col>17</xdr:col>
      <xdr:colOff>708253</xdr:colOff>
      <xdr:row>95</xdr:row>
      <xdr:rowOff>99332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6"/>
  <sheetViews>
    <sheetView tabSelected="1" zoomScale="90" zoomScaleNormal="90" workbookViewId="0">
      <selection activeCell="L20" sqref="L20"/>
    </sheetView>
  </sheetViews>
  <sheetFormatPr defaultRowHeight="13.2" x14ac:dyDescent="0.25"/>
  <cols>
    <col min="1" max="1" width="4.5546875" style="44" customWidth="1"/>
    <col min="2" max="2" width="11.88671875" customWidth="1"/>
    <col min="3" max="3" width="10" customWidth="1"/>
    <col min="4" max="4" width="10.109375" customWidth="1"/>
    <col min="5" max="5" width="13.33203125" customWidth="1"/>
    <col min="6" max="6" width="17.6640625" customWidth="1"/>
    <col min="7" max="7" width="2.6640625" style="28" customWidth="1"/>
    <col min="8" max="8" width="11.88671875" customWidth="1"/>
    <col min="9" max="9" width="10" customWidth="1"/>
    <col min="10" max="10" width="10.109375" customWidth="1"/>
    <col min="11" max="11" width="13.33203125" customWidth="1"/>
    <col min="12" max="12" width="17.6640625" customWidth="1"/>
    <col min="13" max="13" width="2.6640625" style="28" customWidth="1"/>
    <col min="14" max="14" width="11.88671875" customWidth="1"/>
    <col min="15" max="15" width="10" customWidth="1"/>
    <col min="16" max="16" width="10.109375" customWidth="1"/>
    <col min="17" max="17" width="13.33203125" customWidth="1"/>
    <col min="18" max="18" width="17.6640625" customWidth="1"/>
    <col min="19" max="19" width="11.88671875" bestFit="1" customWidth="1"/>
    <col min="20" max="22" width="11.88671875" customWidth="1"/>
  </cols>
  <sheetData>
    <row r="1" spans="1:22" s="34" customFormat="1" ht="17.399999999999999" x14ac:dyDescent="0.3">
      <c r="A1" s="58" t="s">
        <v>21</v>
      </c>
    </row>
    <row r="2" spans="1:22" s="34" customFormat="1" x14ac:dyDescent="0.25">
      <c r="A2" s="43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22" ht="17.399999999999999" x14ac:dyDescent="0.3">
      <c r="B3" s="32" t="s">
        <v>18</v>
      </c>
      <c r="C3" s="17"/>
      <c r="D3" s="17"/>
      <c r="E3" s="17"/>
      <c r="F3" s="17"/>
      <c r="G3" s="25"/>
      <c r="H3" s="32" t="s">
        <v>24</v>
      </c>
      <c r="I3" s="17"/>
      <c r="J3" s="17"/>
      <c r="K3" s="17"/>
      <c r="L3" s="17"/>
      <c r="M3" s="25"/>
      <c r="N3" s="32" t="s">
        <v>25</v>
      </c>
      <c r="O3" s="17"/>
      <c r="P3" s="17"/>
      <c r="Q3" s="17"/>
      <c r="R3" s="17"/>
    </row>
    <row r="4" spans="1:22" ht="8.1" customHeight="1" x14ac:dyDescent="0.25">
      <c r="B4" s="17"/>
      <c r="C4" s="17"/>
      <c r="D4" s="17"/>
      <c r="E4" s="17"/>
      <c r="F4" s="17"/>
      <c r="G4" s="25"/>
      <c r="H4" s="18"/>
      <c r="I4" s="17"/>
      <c r="J4" s="17"/>
      <c r="K4" s="17"/>
      <c r="L4" s="17"/>
      <c r="M4" s="25"/>
      <c r="N4" s="18"/>
      <c r="O4" s="17"/>
      <c r="P4" s="17"/>
      <c r="Q4" s="17"/>
      <c r="R4" s="17"/>
    </row>
    <row r="5" spans="1:22" s="12" customFormat="1" x14ac:dyDescent="0.25">
      <c r="A5" s="45"/>
      <c r="B5" s="23"/>
      <c r="C5" s="20" t="s">
        <v>14</v>
      </c>
      <c r="D5" s="20" t="s">
        <v>13</v>
      </c>
      <c r="E5" s="19" t="s">
        <v>1</v>
      </c>
      <c r="F5" s="20" t="s">
        <v>12</v>
      </c>
      <c r="G5" s="26"/>
      <c r="H5" s="23"/>
      <c r="I5" s="20" t="s">
        <v>14</v>
      </c>
      <c r="J5" s="20" t="s">
        <v>13</v>
      </c>
      <c r="K5" s="19" t="s">
        <v>1</v>
      </c>
      <c r="L5" s="20" t="s">
        <v>12</v>
      </c>
      <c r="M5" s="26"/>
      <c r="N5" s="23"/>
      <c r="O5" s="20" t="s">
        <v>14</v>
      </c>
      <c r="P5" s="20" t="s">
        <v>13</v>
      </c>
      <c r="Q5" s="19" t="s">
        <v>1</v>
      </c>
      <c r="R5" s="20" t="s">
        <v>12</v>
      </c>
      <c r="S5" s="14"/>
      <c r="T5" s="15"/>
    </row>
    <row r="6" spans="1:22" s="11" customFormat="1" x14ac:dyDescent="0.25">
      <c r="A6" s="46"/>
      <c r="B6" s="24" t="s">
        <v>10</v>
      </c>
      <c r="C6" s="21">
        <v>1977</v>
      </c>
      <c r="D6" s="22">
        <f>F19</f>
        <v>140.03695419624623</v>
      </c>
      <c r="E6" s="22">
        <f>E19</f>
        <v>24506.466984343089</v>
      </c>
      <c r="F6" s="22">
        <f>D19</f>
        <v>2205.5820285908781</v>
      </c>
      <c r="G6" s="27"/>
      <c r="H6" s="24" t="s">
        <v>10</v>
      </c>
      <c r="I6" s="21">
        <v>1977</v>
      </c>
      <c r="J6" s="22">
        <f>D6</f>
        <v>140.03695419624623</v>
      </c>
      <c r="K6" s="22">
        <f>K19</f>
        <v>20445.395312651948</v>
      </c>
      <c r="L6" s="22">
        <f>J19</f>
        <v>1840.0855781386754</v>
      </c>
      <c r="M6" s="27"/>
      <c r="N6" s="24" t="s">
        <v>10</v>
      </c>
      <c r="O6" s="21">
        <v>1977</v>
      </c>
      <c r="P6" s="22">
        <f>R19</f>
        <v>140.03695419624623</v>
      </c>
      <c r="Q6" s="22">
        <f>Q19</f>
        <v>24506.466984343089</v>
      </c>
      <c r="R6" s="22">
        <f>P19</f>
        <v>2205.5820285908781</v>
      </c>
      <c r="S6" s="13"/>
    </row>
    <row r="7" spans="1:22" s="11" customFormat="1" x14ac:dyDescent="0.25">
      <c r="A7" s="46"/>
      <c r="B7" s="24" t="s">
        <v>11</v>
      </c>
      <c r="C7" s="21">
        <v>2017</v>
      </c>
      <c r="D7" s="22">
        <f>D14</f>
        <v>800</v>
      </c>
      <c r="E7" s="22">
        <f>E59</f>
        <v>140000</v>
      </c>
      <c r="F7" s="22">
        <f>D59</f>
        <v>249969.82533153275</v>
      </c>
      <c r="G7" s="27"/>
      <c r="H7" s="24" t="s">
        <v>11</v>
      </c>
      <c r="I7" s="21">
        <v>2017</v>
      </c>
      <c r="J7" s="22">
        <f>D7</f>
        <v>800</v>
      </c>
      <c r="K7" s="22">
        <f>K59</f>
        <v>116800</v>
      </c>
      <c r="L7" s="22">
        <f>J59</f>
        <v>108792.30439673201</v>
      </c>
      <c r="M7" s="27"/>
      <c r="N7" s="24" t="s">
        <v>11</v>
      </c>
      <c r="O7" s="21">
        <v>2017</v>
      </c>
      <c r="P7" s="22">
        <f>P14</f>
        <v>800</v>
      </c>
      <c r="Q7" s="22">
        <f>Q59</f>
        <v>140000</v>
      </c>
      <c r="R7" s="22">
        <f>P59</f>
        <v>288218.43903077522</v>
      </c>
      <c r="S7" s="13"/>
    </row>
    <row r="8" spans="1:22" s="11" customFormat="1" x14ac:dyDescent="0.25">
      <c r="A8" s="46"/>
      <c r="B8" s="50" t="s">
        <v>23</v>
      </c>
      <c r="C8" s="21">
        <v>2027</v>
      </c>
      <c r="D8" s="22">
        <f>F69</f>
        <v>964.99076145093841</v>
      </c>
      <c r="E8" s="22">
        <f>E69</f>
        <v>168873.38325391422</v>
      </c>
      <c r="F8" s="22">
        <f>D69</f>
        <v>424237.48056478193</v>
      </c>
      <c r="G8" s="27"/>
      <c r="H8" s="50" t="s">
        <v>23</v>
      </c>
      <c r="I8" s="21">
        <f>A77</f>
        <v>2035</v>
      </c>
      <c r="J8" s="22">
        <f>F77</f>
        <v>1096.9833706116892</v>
      </c>
      <c r="K8" s="22">
        <f>K77</f>
        <v>160159.57210930664</v>
      </c>
      <c r="L8" s="22">
        <f>J77</f>
        <v>233729.30025374034</v>
      </c>
      <c r="M8" s="27"/>
      <c r="N8" s="50" t="s">
        <v>23</v>
      </c>
      <c r="O8" s="21">
        <v>2027</v>
      </c>
      <c r="P8" s="22">
        <f>R69</f>
        <v>964.99076145093841</v>
      </c>
      <c r="Q8" s="22">
        <f>Q69</f>
        <v>168873.38325391422</v>
      </c>
      <c r="R8" s="22">
        <f>P69</f>
        <v>440788.32764866698</v>
      </c>
      <c r="S8" s="13"/>
    </row>
    <row r="9" spans="1:22" ht="8.1" customHeight="1" x14ac:dyDescent="0.25"/>
    <row r="10" spans="1:22" x14ac:dyDescent="0.25">
      <c r="B10" s="5" t="s">
        <v>19</v>
      </c>
      <c r="D10" s="37" t="s">
        <v>18</v>
      </c>
      <c r="H10" s="5" t="s">
        <v>19</v>
      </c>
      <c r="J10" s="37" t="s">
        <v>16</v>
      </c>
      <c r="N10" s="5" t="s">
        <v>19</v>
      </c>
      <c r="P10" s="37" t="s">
        <v>15</v>
      </c>
    </row>
    <row r="11" spans="1:22" ht="8.1" customHeight="1" x14ac:dyDescent="0.25">
      <c r="I11" s="2"/>
      <c r="J11" s="2"/>
    </row>
    <row r="12" spans="1:22" x14ac:dyDescent="0.25">
      <c r="B12" s="6" t="s">
        <v>26</v>
      </c>
      <c r="D12" s="3">
        <v>4.3400000000000001E-2</v>
      </c>
      <c r="G12" s="34"/>
      <c r="H12" s="40" t="s">
        <v>26</v>
      </c>
      <c r="J12" s="1">
        <v>4.3400000000000001E-2</v>
      </c>
      <c r="N12" s="6" t="s">
        <v>26</v>
      </c>
      <c r="P12" s="3">
        <v>4.3400000000000001E-2</v>
      </c>
    </row>
    <row r="13" spans="1:22" x14ac:dyDescent="0.25">
      <c r="B13" s="6" t="s">
        <v>7</v>
      </c>
      <c r="D13">
        <v>175</v>
      </c>
      <c r="E13" s="6" t="s">
        <v>0</v>
      </c>
      <c r="G13" s="34"/>
      <c r="H13" s="40" t="s">
        <v>7</v>
      </c>
      <c r="J13">
        <v>146</v>
      </c>
      <c r="K13" s="6" t="s">
        <v>0</v>
      </c>
      <c r="N13" s="6" t="s">
        <v>7</v>
      </c>
      <c r="P13">
        <v>175</v>
      </c>
      <c r="Q13" s="6" t="s">
        <v>0</v>
      </c>
      <c r="V13" s="6"/>
    </row>
    <row r="14" spans="1:22" x14ac:dyDescent="0.25">
      <c r="B14" t="s">
        <v>28</v>
      </c>
      <c r="D14">
        <v>800</v>
      </c>
      <c r="E14" s="6" t="s">
        <v>6</v>
      </c>
      <c r="G14" s="34"/>
      <c r="H14" t="s">
        <v>28</v>
      </c>
      <c r="J14">
        <v>800</v>
      </c>
      <c r="K14" s="6" t="s">
        <v>6</v>
      </c>
      <c r="N14" t="s">
        <v>28</v>
      </c>
      <c r="P14">
        <v>800</v>
      </c>
      <c r="Q14" s="6" t="s">
        <v>6</v>
      </c>
      <c r="V14" s="6"/>
    </row>
    <row r="15" spans="1:22" s="10" customFormat="1" ht="18" customHeight="1" x14ac:dyDescent="0.25">
      <c r="A15" s="47"/>
      <c r="H15" s="41" t="s">
        <v>27</v>
      </c>
      <c r="J15" s="59">
        <v>0.09</v>
      </c>
      <c r="M15" s="29"/>
    </row>
    <row r="16" spans="1:22" s="10" customFormat="1" ht="18" customHeight="1" x14ac:dyDescent="0.25">
      <c r="A16" s="47"/>
      <c r="H16" s="41"/>
      <c r="J16" s="59"/>
      <c r="M16" s="29"/>
    </row>
    <row r="17" spans="1:22" x14ac:dyDescent="0.25">
      <c r="C17" s="10" t="s">
        <v>4</v>
      </c>
      <c r="D17" s="49" t="s">
        <v>17</v>
      </c>
      <c r="E17" s="38" t="s">
        <v>1</v>
      </c>
      <c r="F17" s="38" t="s">
        <v>5</v>
      </c>
      <c r="G17"/>
      <c r="H17" s="39"/>
      <c r="I17" s="51" t="s">
        <v>3</v>
      </c>
      <c r="J17" s="49" t="s">
        <v>17</v>
      </c>
      <c r="K17" s="10" t="s">
        <v>1</v>
      </c>
      <c r="L17" s="38" t="s">
        <v>5</v>
      </c>
      <c r="O17" s="10" t="s">
        <v>4</v>
      </c>
      <c r="P17" s="49" t="s">
        <v>17</v>
      </c>
      <c r="Q17" s="38" t="s">
        <v>1</v>
      </c>
      <c r="R17" s="38" t="s">
        <v>5</v>
      </c>
    </row>
    <row r="18" spans="1:22" ht="8.1" customHeight="1" x14ac:dyDescent="0.25">
      <c r="G18"/>
      <c r="H18" s="39"/>
    </row>
    <row r="19" spans="1:22" x14ac:dyDescent="0.25">
      <c r="A19" s="48">
        <v>1977</v>
      </c>
      <c r="B19" t="s">
        <v>2</v>
      </c>
      <c r="C19" s="2">
        <v>2205.5820285908781</v>
      </c>
      <c r="D19" s="2">
        <f>C19</f>
        <v>2205.5820285908781</v>
      </c>
      <c r="E19" s="2">
        <v>24506.466984343089</v>
      </c>
      <c r="F19" s="4">
        <f>E19/D13</f>
        <v>140.03695419624623</v>
      </c>
      <c r="G19" s="33"/>
      <c r="H19" s="39" t="s">
        <v>2</v>
      </c>
      <c r="I19" s="2">
        <f>J15*K19</f>
        <v>1840.0855781386754</v>
      </c>
      <c r="J19" s="2">
        <f>I19</f>
        <v>1840.0855781386754</v>
      </c>
      <c r="K19" s="4">
        <f>E19*J13/D13</f>
        <v>20445.395312651948</v>
      </c>
      <c r="L19" s="4">
        <f>F19</f>
        <v>140.03695419624623</v>
      </c>
      <c r="N19" s="39" t="s">
        <v>2</v>
      </c>
      <c r="O19" s="2">
        <v>2205.5820285908781</v>
      </c>
      <c r="P19" s="2">
        <f>O19</f>
        <v>2205.5820285908781</v>
      </c>
      <c r="Q19" s="2">
        <v>24506.466984343089</v>
      </c>
      <c r="R19" s="4">
        <f>Q19/P13</f>
        <v>140.03695419624623</v>
      </c>
      <c r="S19" s="6"/>
      <c r="V19" s="6"/>
    </row>
    <row r="20" spans="1:22" x14ac:dyDescent="0.25">
      <c r="A20" s="48">
        <v>1978</v>
      </c>
      <c r="C20" s="2">
        <v>2205.5820285908781</v>
      </c>
      <c r="D20" s="2">
        <f t="shared" ref="D20:D51" si="0">D19+D19*$D$12+C20</f>
        <v>4506.8863172226002</v>
      </c>
      <c r="E20" s="4">
        <f t="shared" ref="E20:E58" si="1">E$19+($A20-$A$19)*(E$59-E$19)/($A$59-$A$19)</f>
        <v>27393.805309734511</v>
      </c>
      <c r="G20"/>
      <c r="H20" s="39" t="s">
        <v>2</v>
      </c>
      <c r="I20" s="2">
        <f>I19</f>
        <v>1840.0855781386754</v>
      </c>
      <c r="J20" s="2">
        <f t="shared" ref="J20:J51" si="2">J19+J19*$J$12+I20</f>
        <v>3760.0308703685691</v>
      </c>
      <c r="K20" s="4">
        <f t="shared" ref="K20:K58" si="3">K$19+($A20-$A$19)*(K$59-K$19)/($A$59-$A$19)</f>
        <v>22854.260429835649</v>
      </c>
      <c r="L20" s="52"/>
      <c r="M20" s="31"/>
      <c r="N20" s="39" t="s">
        <v>2</v>
      </c>
      <c r="O20" s="2">
        <v>2205.5820285908781</v>
      </c>
      <c r="P20" s="2">
        <f t="shared" ref="P20:P51" si="4">P19+P19*$D$12+O20</f>
        <v>4506.8863172226002</v>
      </c>
      <c r="Q20" s="4">
        <f t="shared" ref="Q20:Q58" si="5">Q$19+($A20-$A$19)*(Q$59-Q$19)/($A$59-$A$19)</f>
        <v>27393.805309734511</v>
      </c>
    </row>
    <row r="21" spans="1:22" x14ac:dyDescent="0.25">
      <c r="A21" s="48">
        <v>1979</v>
      </c>
      <c r="C21" s="2">
        <v>2205.5820285908781</v>
      </c>
      <c r="D21" s="2">
        <f t="shared" si="0"/>
        <v>6908.0672119809387</v>
      </c>
      <c r="E21" s="4">
        <f t="shared" si="1"/>
        <v>30281.143635125933</v>
      </c>
      <c r="F21" s="34"/>
      <c r="G21"/>
      <c r="H21" s="39" t="s">
        <v>2</v>
      </c>
      <c r="I21" s="2">
        <f t="shared" ref="I21:I26" si="6">I20</f>
        <v>1840.0855781386754</v>
      </c>
      <c r="J21" s="2">
        <f t="shared" si="2"/>
        <v>5763.3017882812401</v>
      </c>
      <c r="K21" s="4">
        <f t="shared" si="3"/>
        <v>25263.12554701935</v>
      </c>
      <c r="N21" s="39" t="s">
        <v>2</v>
      </c>
      <c r="O21" s="2">
        <v>2205.5820285908781</v>
      </c>
      <c r="P21" s="2">
        <f t="shared" si="4"/>
        <v>6908.0672119809387</v>
      </c>
      <c r="Q21" s="4">
        <f t="shared" si="5"/>
        <v>30281.143635125933</v>
      </c>
    </row>
    <row r="22" spans="1:22" x14ac:dyDescent="0.25">
      <c r="A22" s="48">
        <v>1980</v>
      </c>
      <c r="C22" s="2">
        <v>2205.5820285908781</v>
      </c>
      <c r="D22" s="2">
        <f t="shared" si="0"/>
        <v>9413.45935757179</v>
      </c>
      <c r="E22" s="4">
        <f t="shared" si="1"/>
        <v>33168.481960517354</v>
      </c>
      <c r="G22"/>
      <c r="H22" s="39" t="s">
        <v>2</v>
      </c>
      <c r="I22" s="2">
        <f t="shared" si="6"/>
        <v>1840.0855781386754</v>
      </c>
      <c r="J22" s="2">
        <f t="shared" si="2"/>
        <v>7853.5146640313214</v>
      </c>
      <c r="K22" s="4">
        <f t="shared" si="3"/>
        <v>27671.990664203051</v>
      </c>
      <c r="N22" s="39" t="s">
        <v>2</v>
      </c>
      <c r="O22" s="2">
        <v>2205.5820285908781</v>
      </c>
      <c r="P22" s="2">
        <f t="shared" si="4"/>
        <v>9413.45935757179</v>
      </c>
      <c r="Q22" s="4">
        <f t="shared" si="5"/>
        <v>33168.481960517354</v>
      </c>
    </row>
    <row r="23" spans="1:22" x14ac:dyDescent="0.25">
      <c r="A23" s="48">
        <v>1981</v>
      </c>
      <c r="C23" s="2">
        <v>2205.5820285908781</v>
      </c>
      <c r="D23" s="2">
        <f t="shared" si="0"/>
        <v>12027.585522281282</v>
      </c>
      <c r="E23" s="4">
        <f t="shared" si="1"/>
        <v>36055.820285908776</v>
      </c>
      <c r="F23" s="4">
        <f>F19+(A23-A19)*(F59-F19)/(A59-A19)</f>
        <v>206.03325877662161</v>
      </c>
      <c r="G23"/>
      <c r="H23" s="39" t="s">
        <v>2</v>
      </c>
      <c r="I23" s="2">
        <f t="shared" si="6"/>
        <v>1840.0855781386754</v>
      </c>
      <c r="J23" s="2">
        <f t="shared" si="2"/>
        <v>10034.442778588957</v>
      </c>
      <c r="K23" s="4">
        <f t="shared" si="3"/>
        <v>30080.855781386752</v>
      </c>
      <c r="L23" s="4">
        <f>F23</f>
        <v>206.03325877662161</v>
      </c>
      <c r="M23" s="30"/>
      <c r="N23" s="39" t="s">
        <v>2</v>
      </c>
      <c r="O23" s="2">
        <v>2205.5820285908781</v>
      </c>
      <c r="P23" s="2">
        <f t="shared" si="4"/>
        <v>12027.585522281282</v>
      </c>
      <c r="Q23" s="4">
        <f t="shared" si="5"/>
        <v>36055.820285908776</v>
      </c>
      <c r="R23" s="4"/>
    </row>
    <row r="24" spans="1:22" x14ac:dyDescent="0.25">
      <c r="A24" s="48">
        <v>1982</v>
      </c>
      <c r="C24" s="2">
        <v>2205.5820285908781</v>
      </c>
      <c r="D24" s="2">
        <f t="shared" si="0"/>
        <v>14755.164762539167</v>
      </c>
      <c r="E24" s="4">
        <f t="shared" si="1"/>
        <v>38943.158611300205</v>
      </c>
      <c r="G24"/>
      <c r="H24" s="39" t="s">
        <v>2</v>
      </c>
      <c r="I24" s="2">
        <f t="shared" si="6"/>
        <v>1840.0855781386754</v>
      </c>
      <c r="J24" s="2">
        <f t="shared" si="2"/>
        <v>12310.023173318394</v>
      </c>
      <c r="K24" s="4">
        <f t="shared" si="3"/>
        <v>32489.720898570456</v>
      </c>
      <c r="N24" s="39" t="s">
        <v>2</v>
      </c>
      <c r="O24" s="2">
        <v>2205.5820285908781</v>
      </c>
      <c r="P24" s="2">
        <f t="shared" si="4"/>
        <v>14755.164762539167</v>
      </c>
      <c r="Q24" s="4">
        <f t="shared" si="5"/>
        <v>38943.158611300205</v>
      </c>
    </row>
    <row r="25" spans="1:22" x14ac:dyDescent="0.25">
      <c r="A25" s="48">
        <v>1983</v>
      </c>
      <c r="C25" s="2">
        <v>2205.5820285908781</v>
      </c>
      <c r="D25" s="2">
        <f t="shared" si="0"/>
        <v>17601.120941824247</v>
      </c>
      <c r="E25" s="4">
        <f t="shared" si="1"/>
        <v>41830.496936691627</v>
      </c>
      <c r="G25"/>
      <c r="H25" s="39" t="s">
        <v>2</v>
      </c>
      <c r="I25" s="2">
        <f t="shared" si="6"/>
        <v>1840.0855781386754</v>
      </c>
      <c r="J25" s="2">
        <f t="shared" si="2"/>
        <v>14684.363757179086</v>
      </c>
      <c r="K25" s="4">
        <f t="shared" si="3"/>
        <v>34898.586015754154</v>
      </c>
      <c r="N25" s="39" t="s">
        <v>2</v>
      </c>
      <c r="O25" s="2">
        <v>2205.5820285908781</v>
      </c>
      <c r="P25" s="2">
        <f t="shared" si="4"/>
        <v>17601.120941824247</v>
      </c>
      <c r="Q25" s="4">
        <f t="shared" si="5"/>
        <v>41830.496936691627</v>
      </c>
    </row>
    <row r="26" spans="1:22" x14ac:dyDescent="0.25">
      <c r="A26" s="48">
        <v>1984</v>
      </c>
      <c r="C26" s="2">
        <v>2205.5820285908781</v>
      </c>
      <c r="D26" s="2">
        <f t="shared" si="0"/>
        <v>20570.591619290295</v>
      </c>
      <c r="E26" s="4">
        <f t="shared" si="1"/>
        <v>44717.835262083048</v>
      </c>
      <c r="G26"/>
      <c r="H26" s="39" t="s">
        <v>2</v>
      </c>
      <c r="I26" s="2">
        <f t="shared" si="6"/>
        <v>1840.0855781386754</v>
      </c>
      <c r="J26" s="2">
        <f t="shared" si="2"/>
        <v>17161.750722379333</v>
      </c>
      <c r="K26" s="4">
        <f t="shared" si="3"/>
        <v>37307.451132937858</v>
      </c>
      <c r="N26" s="39" t="s">
        <v>2</v>
      </c>
      <c r="O26" s="2">
        <v>2205.5820285908781</v>
      </c>
      <c r="P26" s="2">
        <f t="shared" si="4"/>
        <v>20570.591619290295</v>
      </c>
      <c r="Q26" s="4">
        <f t="shared" si="5"/>
        <v>44717.835262083048</v>
      </c>
    </row>
    <row r="27" spans="1:22" x14ac:dyDescent="0.25">
      <c r="A27" s="48">
        <v>1985</v>
      </c>
      <c r="C27" s="2">
        <v>2205.5820285908781</v>
      </c>
      <c r="D27" s="2">
        <f t="shared" si="0"/>
        <v>23668.937324158371</v>
      </c>
      <c r="E27" s="4">
        <f t="shared" si="1"/>
        <v>47605.17358747447</v>
      </c>
      <c r="F27" s="4">
        <f>F19+(A27-A19)*(F59-F19)/(A59-A19)</f>
        <v>272.02956335699696</v>
      </c>
      <c r="G27"/>
      <c r="H27" s="40" t="s">
        <v>22</v>
      </c>
      <c r="I27" s="2">
        <v>10029.9</v>
      </c>
      <c r="J27" s="2">
        <f t="shared" si="2"/>
        <v>27936.470703730593</v>
      </c>
      <c r="K27" s="4">
        <f t="shared" si="3"/>
        <v>39716.316250121556</v>
      </c>
      <c r="L27" s="4">
        <f>F27</f>
        <v>272.02956335699696</v>
      </c>
      <c r="M27" s="30"/>
      <c r="N27" s="39" t="s">
        <v>2</v>
      </c>
      <c r="O27" s="2">
        <v>2205.5820285908781</v>
      </c>
      <c r="P27" s="2">
        <f t="shared" si="4"/>
        <v>23668.937324158371</v>
      </c>
      <c r="Q27" s="4">
        <f t="shared" si="5"/>
        <v>47605.17358747447</v>
      </c>
      <c r="R27" s="4"/>
    </row>
    <row r="28" spans="1:22" x14ac:dyDescent="0.25">
      <c r="A28" s="48">
        <v>1986</v>
      </c>
      <c r="C28" s="2">
        <v>2205.5820285908781</v>
      </c>
      <c r="D28" s="2">
        <f t="shared" si="0"/>
        <v>26901.75123261772</v>
      </c>
      <c r="E28" s="4">
        <f t="shared" si="1"/>
        <v>50492.511912865892</v>
      </c>
      <c r="G28"/>
      <c r="H28" s="39"/>
      <c r="I28" s="2"/>
      <c r="J28" s="2">
        <f t="shared" si="2"/>
        <v>29148.913532272501</v>
      </c>
      <c r="K28" s="4">
        <f t="shared" si="3"/>
        <v>42125.18136730526</v>
      </c>
      <c r="N28" s="39" t="s">
        <v>2</v>
      </c>
      <c r="O28" s="2">
        <v>2205.5820285908781</v>
      </c>
      <c r="P28" s="2">
        <f t="shared" si="4"/>
        <v>26901.75123261772</v>
      </c>
      <c r="Q28" s="4">
        <f t="shared" si="5"/>
        <v>50492.511912865892</v>
      </c>
    </row>
    <row r="29" spans="1:22" x14ac:dyDescent="0.25">
      <c r="A29" s="48">
        <v>1987</v>
      </c>
      <c r="C29" s="2">
        <v>2205.5820285908781</v>
      </c>
      <c r="D29" s="2">
        <f t="shared" si="0"/>
        <v>30274.869264704208</v>
      </c>
      <c r="E29" s="4">
        <f t="shared" si="1"/>
        <v>53379.850238257321</v>
      </c>
      <c r="G29"/>
      <c r="H29" s="39"/>
      <c r="I29" s="2"/>
      <c r="J29" s="2">
        <f t="shared" si="2"/>
        <v>30413.976379573127</v>
      </c>
      <c r="K29" s="4">
        <f t="shared" si="3"/>
        <v>44534.046484488965</v>
      </c>
      <c r="N29" s="39" t="s">
        <v>2</v>
      </c>
      <c r="O29" s="2">
        <v>2205.5820285908781</v>
      </c>
      <c r="P29" s="2">
        <f t="shared" si="4"/>
        <v>30274.869264704208</v>
      </c>
      <c r="Q29" s="4">
        <f t="shared" si="5"/>
        <v>53379.850238257321</v>
      </c>
    </row>
    <row r="30" spans="1:22" x14ac:dyDescent="0.25">
      <c r="A30" s="48">
        <v>1988</v>
      </c>
      <c r="C30" s="2">
        <v>2205.5820285908781</v>
      </c>
      <c r="D30" s="2">
        <f t="shared" si="0"/>
        <v>33794.38061938325</v>
      </c>
      <c r="E30" s="4">
        <f t="shared" si="1"/>
        <v>56267.188563648742</v>
      </c>
      <c r="G30"/>
      <c r="H30" s="39"/>
      <c r="I30" s="2"/>
      <c r="J30" s="2">
        <f t="shared" si="2"/>
        <v>31733.9429544466</v>
      </c>
      <c r="K30" s="4">
        <f t="shared" si="3"/>
        <v>46942.911601672662</v>
      </c>
      <c r="N30" s="39" t="s">
        <v>2</v>
      </c>
      <c r="O30" s="2">
        <v>2205.5820285908781</v>
      </c>
      <c r="P30" s="2">
        <f t="shared" si="4"/>
        <v>33794.38061938325</v>
      </c>
      <c r="Q30" s="4">
        <f t="shared" si="5"/>
        <v>56267.188563648742</v>
      </c>
    </row>
    <row r="31" spans="1:22" x14ac:dyDescent="0.25">
      <c r="A31" s="48">
        <v>1989</v>
      </c>
      <c r="C31" s="2">
        <v>2205.5820285908781</v>
      </c>
      <c r="D31" s="2">
        <f t="shared" si="0"/>
        <v>37466.638766855358</v>
      </c>
      <c r="E31" s="4">
        <f t="shared" si="1"/>
        <v>59154.526889040164</v>
      </c>
      <c r="G31"/>
      <c r="H31" s="39"/>
      <c r="I31" s="2"/>
      <c r="J31" s="2">
        <f t="shared" si="2"/>
        <v>33111.196078669585</v>
      </c>
      <c r="K31" s="4">
        <f t="shared" si="3"/>
        <v>49351.776718856359</v>
      </c>
      <c r="N31" s="39" t="s">
        <v>2</v>
      </c>
      <c r="O31" s="2">
        <v>2205.5820285908781</v>
      </c>
      <c r="P31" s="2">
        <f t="shared" si="4"/>
        <v>37466.638766855358</v>
      </c>
      <c r="Q31" s="4">
        <f t="shared" si="5"/>
        <v>59154.526889040164</v>
      </c>
    </row>
    <row r="32" spans="1:22" x14ac:dyDescent="0.25">
      <c r="A32" s="48">
        <v>1990</v>
      </c>
      <c r="C32" s="2">
        <v>2205.5820285908781</v>
      </c>
      <c r="D32" s="2">
        <f t="shared" si="0"/>
        <v>41298.272917927759</v>
      </c>
      <c r="E32" s="4">
        <f t="shared" si="1"/>
        <v>62041.865214431586</v>
      </c>
      <c r="G32"/>
      <c r="H32" s="39"/>
      <c r="I32" s="2"/>
      <c r="J32" s="2">
        <f t="shared" si="2"/>
        <v>34548.221988483849</v>
      </c>
      <c r="K32" s="4">
        <f t="shared" si="3"/>
        <v>51760.641836040064</v>
      </c>
      <c r="N32" s="39" t="s">
        <v>2</v>
      </c>
      <c r="O32" s="2">
        <v>2205.5820285908781</v>
      </c>
      <c r="P32" s="2">
        <f t="shared" si="4"/>
        <v>41298.272917927759</v>
      </c>
      <c r="Q32" s="4">
        <f t="shared" si="5"/>
        <v>62041.865214431586</v>
      </c>
    </row>
    <row r="33" spans="1:18" x14ac:dyDescent="0.25">
      <c r="A33" s="48">
        <v>1991</v>
      </c>
      <c r="C33" s="2">
        <v>2205.5820285908781</v>
      </c>
      <c r="D33" s="2">
        <f t="shared" si="0"/>
        <v>45296.199991156704</v>
      </c>
      <c r="E33" s="4">
        <f t="shared" si="1"/>
        <v>64929.203539823007</v>
      </c>
      <c r="G33"/>
      <c r="H33" s="39"/>
      <c r="I33" s="2"/>
      <c r="J33" s="2">
        <f t="shared" si="2"/>
        <v>36047.614822784046</v>
      </c>
      <c r="K33" s="4">
        <f t="shared" si="3"/>
        <v>54169.506953223769</v>
      </c>
      <c r="N33" s="39" t="s">
        <v>2</v>
      </c>
      <c r="O33" s="2">
        <v>2205.5820285908781</v>
      </c>
      <c r="P33" s="2">
        <f t="shared" si="4"/>
        <v>45296.199991156704</v>
      </c>
      <c r="Q33" s="4">
        <f t="shared" si="5"/>
        <v>64929.203539823007</v>
      </c>
    </row>
    <row r="34" spans="1:18" x14ac:dyDescent="0.25">
      <c r="A34" s="48">
        <v>1992</v>
      </c>
      <c r="C34" s="2">
        <v>2205.5820285908781</v>
      </c>
      <c r="D34" s="2">
        <f t="shared" si="0"/>
        <v>49467.637099363783</v>
      </c>
      <c r="E34" s="4">
        <f t="shared" si="1"/>
        <v>67816.541865214429</v>
      </c>
      <c r="G34"/>
      <c r="H34" s="39"/>
      <c r="I34" s="2"/>
      <c r="J34" s="2">
        <f t="shared" si="2"/>
        <v>37612.08130609287</v>
      </c>
      <c r="K34" s="4">
        <f t="shared" si="3"/>
        <v>56578.372070407466</v>
      </c>
      <c r="N34" s="39" t="s">
        <v>2</v>
      </c>
      <c r="O34" s="2">
        <v>2205.5820285908781</v>
      </c>
      <c r="P34" s="2">
        <f t="shared" si="4"/>
        <v>49467.637099363783</v>
      </c>
      <c r="Q34" s="4">
        <f t="shared" si="5"/>
        <v>67816.541865214429</v>
      </c>
    </row>
    <row r="35" spans="1:18" x14ac:dyDescent="0.25">
      <c r="A35" s="48">
        <v>1993</v>
      </c>
      <c r="C35" s="2">
        <v>2205.5820285908781</v>
      </c>
      <c r="D35" s="2">
        <f t="shared" si="0"/>
        <v>53820.114578067049</v>
      </c>
      <c r="E35" s="4">
        <f t="shared" si="1"/>
        <v>70703.880190605851</v>
      </c>
      <c r="G35"/>
      <c r="H35" s="39"/>
      <c r="I35" s="2"/>
      <c r="J35" s="2">
        <f t="shared" si="2"/>
        <v>39244.445634777301</v>
      </c>
      <c r="K35" s="4">
        <f t="shared" si="3"/>
        <v>58987.23718759117</v>
      </c>
      <c r="N35" s="39" t="s">
        <v>2</v>
      </c>
      <c r="O35" s="2">
        <v>2205.5820285908781</v>
      </c>
      <c r="P35" s="2">
        <f t="shared" si="4"/>
        <v>53820.114578067049</v>
      </c>
      <c r="Q35" s="4">
        <f t="shared" si="5"/>
        <v>70703.880190605851</v>
      </c>
    </row>
    <row r="36" spans="1:18" x14ac:dyDescent="0.25">
      <c r="A36" s="48">
        <v>1994</v>
      </c>
      <c r="C36" s="2">
        <v>2205.5820285908781</v>
      </c>
      <c r="D36" s="2">
        <f t="shared" si="0"/>
        <v>58361.489579346038</v>
      </c>
      <c r="E36" s="4">
        <f t="shared" si="1"/>
        <v>73591.218515997287</v>
      </c>
      <c r="G36"/>
      <c r="H36" s="39"/>
      <c r="I36" s="2"/>
      <c r="J36" s="2">
        <f t="shared" si="2"/>
        <v>40947.654575326633</v>
      </c>
      <c r="K36" s="4">
        <f t="shared" si="3"/>
        <v>61396.102304774868</v>
      </c>
      <c r="N36" s="39" t="s">
        <v>2</v>
      </c>
      <c r="O36" s="2">
        <v>2205.5820285908781</v>
      </c>
      <c r="P36" s="2">
        <f t="shared" si="4"/>
        <v>58361.489579346038</v>
      </c>
      <c r="Q36" s="4">
        <f t="shared" si="5"/>
        <v>73591.218515997287</v>
      </c>
    </row>
    <row r="37" spans="1:18" x14ac:dyDescent="0.25">
      <c r="A37" s="48">
        <v>1995</v>
      </c>
      <c r="C37" s="2">
        <v>2205.5820285908781</v>
      </c>
      <c r="D37" s="2">
        <f t="shared" si="0"/>
        <v>63099.960255680533</v>
      </c>
      <c r="E37" s="4">
        <f t="shared" si="1"/>
        <v>76478.556841388694</v>
      </c>
      <c r="G37"/>
      <c r="H37" s="39"/>
      <c r="I37" s="2"/>
      <c r="J37" s="2">
        <f t="shared" si="2"/>
        <v>42724.782783895811</v>
      </c>
      <c r="K37" s="4">
        <f t="shared" si="3"/>
        <v>63804.967421958572</v>
      </c>
      <c r="N37" s="39" t="s">
        <v>2</v>
      </c>
      <c r="O37" s="2">
        <v>2205.5820285908781</v>
      </c>
      <c r="P37" s="2">
        <f t="shared" si="4"/>
        <v>63099.960255680533</v>
      </c>
      <c r="Q37" s="4">
        <f t="shared" si="5"/>
        <v>76478.556841388694</v>
      </c>
    </row>
    <row r="38" spans="1:18" x14ac:dyDescent="0.25">
      <c r="A38" s="48">
        <v>1996</v>
      </c>
      <c r="C38" s="2">
        <v>2205.5820285908781</v>
      </c>
      <c r="D38" s="2">
        <f t="shared" si="0"/>
        <v>68044.080559367954</v>
      </c>
      <c r="E38" s="4">
        <f t="shared" si="1"/>
        <v>79365.89516678013</v>
      </c>
      <c r="G38"/>
      <c r="H38" s="39"/>
      <c r="I38" s="2"/>
      <c r="J38" s="2">
        <f t="shared" si="2"/>
        <v>44579.03835671689</v>
      </c>
      <c r="K38" s="4">
        <f t="shared" si="3"/>
        <v>66213.832539142284</v>
      </c>
      <c r="N38" s="39" t="s">
        <v>2</v>
      </c>
      <c r="O38" s="2">
        <v>2205.5820285908781</v>
      </c>
      <c r="P38" s="2">
        <f t="shared" si="4"/>
        <v>68044.080559367954</v>
      </c>
      <c r="Q38" s="4">
        <f t="shared" si="5"/>
        <v>79365.89516678013</v>
      </c>
    </row>
    <row r="39" spans="1:18" x14ac:dyDescent="0.25">
      <c r="A39" s="48">
        <v>1997</v>
      </c>
      <c r="C39" s="2">
        <v>2205.37</v>
      </c>
      <c r="D39" s="2">
        <f t="shared" si="0"/>
        <v>73202.563655644524</v>
      </c>
      <c r="E39" s="4">
        <f t="shared" si="1"/>
        <v>82253.233492171537</v>
      </c>
      <c r="G39"/>
      <c r="H39" s="39"/>
      <c r="I39" s="2"/>
      <c r="J39" s="2">
        <f t="shared" si="2"/>
        <v>46513.768621398405</v>
      </c>
      <c r="K39" s="4">
        <f t="shared" si="3"/>
        <v>68622.697656325967</v>
      </c>
      <c r="N39" s="39" t="s">
        <v>2</v>
      </c>
      <c r="O39" s="2">
        <v>2205.37</v>
      </c>
      <c r="P39" s="2">
        <f t="shared" si="4"/>
        <v>73202.563655644524</v>
      </c>
      <c r="Q39" s="4">
        <f t="shared" si="5"/>
        <v>82253.233492171537</v>
      </c>
    </row>
    <row r="40" spans="1:18" x14ac:dyDescent="0.25">
      <c r="A40" s="48">
        <v>1998</v>
      </c>
      <c r="C40" s="2">
        <v>2205.37</v>
      </c>
      <c r="D40" s="2">
        <f t="shared" si="0"/>
        <v>78584.924918299497</v>
      </c>
      <c r="E40" s="4">
        <f t="shared" si="1"/>
        <v>85140.571817562974</v>
      </c>
      <c r="G40"/>
      <c r="H40" s="39"/>
      <c r="I40" s="2"/>
      <c r="J40" s="2">
        <f t="shared" si="2"/>
        <v>48532.466179567098</v>
      </c>
      <c r="K40" s="4">
        <f t="shared" si="3"/>
        <v>71031.562773509679</v>
      </c>
      <c r="N40" s="39" t="s">
        <v>2</v>
      </c>
      <c r="O40" s="2">
        <v>2205.37</v>
      </c>
      <c r="P40" s="2">
        <f t="shared" si="4"/>
        <v>78584.924918299497</v>
      </c>
      <c r="Q40" s="4">
        <f t="shared" si="5"/>
        <v>85140.571817562974</v>
      </c>
    </row>
    <row r="41" spans="1:18" x14ac:dyDescent="0.25">
      <c r="A41" s="48">
        <v>1999</v>
      </c>
      <c r="C41" s="2">
        <v>2205.37</v>
      </c>
      <c r="D41" s="2">
        <f t="shared" si="0"/>
        <v>84200.88065975369</v>
      </c>
      <c r="E41" s="4">
        <f t="shared" si="1"/>
        <v>88027.910142954395</v>
      </c>
      <c r="G41"/>
      <c r="H41" s="39"/>
      <c r="I41" s="2"/>
      <c r="J41" s="2">
        <f t="shared" si="2"/>
        <v>50638.775211760309</v>
      </c>
      <c r="K41" s="4">
        <f t="shared" si="3"/>
        <v>73440.427890693376</v>
      </c>
      <c r="N41" s="39" t="s">
        <v>2</v>
      </c>
      <c r="O41" s="2">
        <v>2205.37</v>
      </c>
      <c r="P41" s="2">
        <f t="shared" si="4"/>
        <v>84200.88065975369</v>
      </c>
      <c r="Q41" s="4">
        <f t="shared" si="5"/>
        <v>88027.910142954395</v>
      </c>
    </row>
    <row r="42" spans="1:18" x14ac:dyDescent="0.25">
      <c r="A42" s="48">
        <v>2000</v>
      </c>
      <c r="C42" s="2">
        <v>2205.37</v>
      </c>
      <c r="D42" s="2">
        <f t="shared" si="0"/>
        <v>90060.568880387</v>
      </c>
      <c r="E42" s="4">
        <f t="shared" si="1"/>
        <v>90915.248468345817</v>
      </c>
      <c r="G42"/>
      <c r="H42" s="39"/>
      <c r="I42" s="2"/>
      <c r="J42" s="2">
        <f t="shared" si="2"/>
        <v>52836.498055950709</v>
      </c>
      <c r="K42" s="4">
        <f t="shared" si="3"/>
        <v>75849.293007877073</v>
      </c>
      <c r="N42" s="39" t="s">
        <v>2</v>
      </c>
      <c r="O42" s="2">
        <v>2205.37</v>
      </c>
      <c r="P42" s="2">
        <f t="shared" si="4"/>
        <v>90060.568880387</v>
      </c>
      <c r="Q42" s="4">
        <f t="shared" si="5"/>
        <v>90915.248468345817</v>
      </c>
    </row>
    <row r="43" spans="1:18" x14ac:dyDescent="0.25">
      <c r="A43" s="48">
        <v>2001</v>
      </c>
      <c r="C43" s="2">
        <v>2205.37</v>
      </c>
      <c r="D43" s="2">
        <f t="shared" si="0"/>
        <v>96174.567569795792</v>
      </c>
      <c r="E43" s="4">
        <f t="shared" si="1"/>
        <v>93802.586793737239</v>
      </c>
      <c r="G43"/>
      <c r="H43" s="39"/>
      <c r="I43" s="2"/>
      <c r="J43" s="2">
        <f t="shared" si="2"/>
        <v>55129.602071578971</v>
      </c>
      <c r="K43" s="4">
        <f t="shared" si="3"/>
        <v>78258.158125060785</v>
      </c>
      <c r="N43" s="39" t="s">
        <v>2</v>
      </c>
      <c r="O43" s="2">
        <v>2205.37</v>
      </c>
      <c r="P43" s="2">
        <f t="shared" si="4"/>
        <v>96174.567569795792</v>
      </c>
      <c r="Q43" s="4">
        <f t="shared" si="5"/>
        <v>93802.586793737239</v>
      </c>
    </row>
    <row r="44" spans="1:18" x14ac:dyDescent="0.25">
      <c r="A44" s="48">
        <v>2002</v>
      </c>
      <c r="C44" s="2">
        <v>2205.37</v>
      </c>
      <c r="D44" s="2">
        <f t="shared" si="0"/>
        <v>102553.91380232493</v>
      </c>
      <c r="E44" s="4">
        <f t="shared" si="1"/>
        <v>96689.92511912866</v>
      </c>
      <c r="G44"/>
      <c r="H44" s="39"/>
      <c r="I44" s="2"/>
      <c r="J44" s="2">
        <f t="shared" si="2"/>
        <v>57522.2268014855</v>
      </c>
      <c r="K44" s="4">
        <f t="shared" si="3"/>
        <v>80667.023242244468</v>
      </c>
      <c r="N44" s="39" t="s">
        <v>2</v>
      </c>
      <c r="O44" s="2">
        <v>2205.37</v>
      </c>
      <c r="P44" s="2">
        <f t="shared" si="4"/>
        <v>102553.91380232493</v>
      </c>
      <c r="Q44" s="4">
        <f t="shared" si="5"/>
        <v>96689.92511912866</v>
      </c>
    </row>
    <row r="45" spans="1:18" x14ac:dyDescent="0.25">
      <c r="A45" s="48">
        <v>2003</v>
      </c>
      <c r="C45" s="2">
        <v>2205.37</v>
      </c>
      <c r="D45" s="2">
        <f t="shared" si="0"/>
        <v>109210.12366134582</v>
      </c>
      <c r="E45" s="4">
        <f t="shared" si="1"/>
        <v>99577.263444520082</v>
      </c>
      <c r="G45"/>
      <c r="H45" s="39"/>
      <c r="I45" s="2"/>
      <c r="J45" s="2">
        <f t="shared" si="2"/>
        <v>60018.691444669974</v>
      </c>
      <c r="K45" s="4">
        <f t="shared" si="3"/>
        <v>83075.88835942818</v>
      </c>
      <c r="N45" s="42" t="s">
        <v>20</v>
      </c>
      <c r="O45" s="2">
        <v>52000</v>
      </c>
      <c r="P45" s="2">
        <f t="shared" si="4"/>
        <v>159004.75366134581</v>
      </c>
      <c r="Q45" s="4">
        <f t="shared" si="5"/>
        <v>99577.263444520082</v>
      </c>
      <c r="R45" s="4">
        <f>Q45/P13</f>
        <v>569.01293396868618</v>
      </c>
    </row>
    <row r="46" spans="1:18" x14ac:dyDescent="0.25">
      <c r="A46" s="48">
        <v>2004</v>
      </c>
      <c r="C46" s="2">
        <v>2205.37</v>
      </c>
      <c r="D46" s="2">
        <f t="shared" si="0"/>
        <v>116155.21302824822</v>
      </c>
      <c r="E46" s="4">
        <f t="shared" si="1"/>
        <v>102464.6017699115</v>
      </c>
      <c r="G46"/>
      <c r="H46" s="39"/>
      <c r="I46" s="2"/>
      <c r="J46" s="2">
        <f t="shared" si="2"/>
        <v>62623.502653368654</v>
      </c>
      <c r="K46" s="4">
        <f t="shared" si="3"/>
        <v>85484.753476611892</v>
      </c>
      <c r="O46" s="2"/>
      <c r="P46" s="2">
        <f t="shared" si="4"/>
        <v>165905.55997024823</v>
      </c>
      <c r="Q46" s="4">
        <f t="shared" si="5"/>
        <v>102464.6017699115</v>
      </c>
    </row>
    <row r="47" spans="1:18" x14ac:dyDescent="0.25">
      <c r="A47" s="48">
        <v>2005</v>
      </c>
      <c r="C47" s="2">
        <v>2205.37</v>
      </c>
      <c r="D47" s="2">
        <f t="shared" si="0"/>
        <v>123401.7192736742</v>
      </c>
      <c r="E47" s="4">
        <f t="shared" si="1"/>
        <v>105351.94009530293</v>
      </c>
      <c r="G47"/>
      <c r="H47" s="39"/>
      <c r="I47" s="2"/>
      <c r="J47" s="2">
        <f t="shared" si="2"/>
        <v>65341.362668524853</v>
      </c>
      <c r="K47" s="4">
        <f t="shared" si="3"/>
        <v>87893.618593795589</v>
      </c>
      <c r="O47" s="2"/>
      <c r="P47" s="2">
        <f t="shared" si="4"/>
        <v>173105.861272957</v>
      </c>
      <c r="Q47" s="4">
        <f t="shared" si="5"/>
        <v>105351.94009530293</v>
      </c>
    </row>
    <row r="48" spans="1:18" x14ac:dyDescent="0.25">
      <c r="A48" s="48">
        <v>2006</v>
      </c>
      <c r="C48" s="2">
        <v>2205.37</v>
      </c>
      <c r="D48" s="2">
        <f t="shared" si="0"/>
        <v>130962.72389015165</v>
      </c>
      <c r="E48" s="4">
        <f t="shared" si="1"/>
        <v>108239.27842069435</v>
      </c>
      <c r="G48"/>
      <c r="H48" s="39"/>
      <c r="I48" s="2"/>
      <c r="J48" s="2">
        <f t="shared" si="2"/>
        <v>68177.177808338834</v>
      </c>
      <c r="K48" s="4">
        <f t="shared" si="3"/>
        <v>90302.483710979286</v>
      </c>
      <c r="O48" s="2"/>
      <c r="P48" s="2">
        <f t="shared" si="4"/>
        <v>180618.65565220334</v>
      </c>
      <c r="Q48" s="4">
        <f t="shared" si="5"/>
        <v>108239.27842069435</v>
      </c>
    </row>
    <row r="49" spans="1:22" x14ac:dyDescent="0.25">
      <c r="A49" s="48">
        <v>2007</v>
      </c>
      <c r="C49" s="2">
        <v>2926.4</v>
      </c>
      <c r="D49" s="2">
        <f t="shared" si="0"/>
        <v>139572.90610698424</v>
      </c>
      <c r="E49" s="4">
        <f t="shared" si="1"/>
        <v>111126.61674608577</v>
      </c>
      <c r="G49"/>
      <c r="H49" s="39"/>
      <c r="I49" s="2"/>
      <c r="J49" s="2">
        <f t="shared" si="2"/>
        <v>71136.067325220734</v>
      </c>
      <c r="K49" s="4">
        <f t="shared" si="3"/>
        <v>92711.348828162983</v>
      </c>
      <c r="O49" s="2"/>
      <c r="P49" s="2">
        <f t="shared" si="4"/>
        <v>188457.50530750895</v>
      </c>
      <c r="Q49" s="4">
        <f t="shared" si="5"/>
        <v>111126.61674608577</v>
      </c>
    </row>
    <row r="50" spans="1:22" x14ac:dyDescent="0.25">
      <c r="A50" s="48">
        <v>2008</v>
      </c>
      <c r="C50" s="2">
        <v>2926.4</v>
      </c>
      <c r="D50" s="2">
        <f t="shared" si="0"/>
        <v>148556.77023202737</v>
      </c>
      <c r="E50" s="4">
        <f t="shared" si="1"/>
        <v>114013.9550714772</v>
      </c>
      <c r="G50"/>
      <c r="H50" s="39"/>
      <c r="I50" s="2"/>
      <c r="J50" s="2">
        <f t="shared" si="2"/>
        <v>74223.372647135315</v>
      </c>
      <c r="K50" s="4">
        <f t="shared" si="3"/>
        <v>95120.213945346695</v>
      </c>
      <c r="O50" s="2"/>
      <c r="P50" s="2">
        <f t="shared" si="4"/>
        <v>196636.56103785484</v>
      </c>
      <c r="Q50" s="4">
        <f t="shared" si="5"/>
        <v>114013.9550714772</v>
      </c>
    </row>
    <row r="51" spans="1:22" x14ac:dyDescent="0.25">
      <c r="A51" s="48">
        <v>2009</v>
      </c>
      <c r="C51" s="2">
        <v>2926.4</v>
      </c>
      <c r="D51" s="2">
        <f t="shared" si="0"/>
        <v>157930.53406009736</v>
      </c>
      <c r="E51" s="4">
        <f t="shared" si="1"/>
        <v>116901.29339686861</v>
      </c>
      <c r="G51"/>
      <c r="H51" s="39"/>
      <c r="I51" s="2"/>
      <c r="J51" s="2">
        <f t="shared" si="2"/>
        <v>77444.667020020992</v>
      </c>
      <c r="K51" s="4">
        <f t="shared" si="3"/>
        <v>97529.079062530393</v>
      </c>
      <c r="O51" s="2"/>
      <c r="P51" s="2">
        <f t="shared" si="4"/>
        <v>205170.58778689775</v>
      </c>
      <c r="Q51" s="4">
        <f t="shared" si="5"/>
        <v>116901.29339686861</v>
      </c>
    </row>
    <row r="52" spans="1:22" x14ac:dyDescent="0.25">
      <c r="A52" s="48">
        <v>2010</v>
      </c>
      <c r="C52" s="2">
        <v>2926.4</v>
      </c>
      <c r="D52" s="2">
        <f t="shared" ref="D52:D83" si="7">D51+D51*$D$12+C52</f>
        <v>167711.11923830557</v>
      </c>
      <c r="E52" s="4">
        <f t="shared" si="1"/>
        <v>119788.63172226003</v>
      </c>
      <c r="G52"/>
      <c r="H52" s="39"/>
      <c r="I52" s="2"/>
      <c r="J52" s="2">
        <f t="shared" ref="J52:J83" si="8">J51+J51*$J$12+I52</f>
        <v>80805.765568689909</v>
      </c>
      <c r="K52" s="4">
        <f t="shared" si="3"/>
        <v>99937.94417971409</v>
      </c>
      <c r="O52" s="2"/>
      <c r="P52" s="2">
        <f t="shared" ref="P52:P83" si="9">P51+P51*$D$12+O52</f>
        <v>214074.99129684913</v>
      </c>
      <c r="Q52" s="4">
        <f t="shared" si="5"/>
        <v>119788.63172226003</v>
      </c>
    </row>
    <row r="53" spans="1:22" x14ac:dyDescent="0.25">
      <c r="A53" s="48">
        <v>2011</v>
      </c>
      <c r="C53" s="2">
        <v>2926.4</v>
      </c>
      <c r="D53" s="2">
        <f t="shared" si="7"/>
        <v>177916.18181324803</v>
      </c>
      <c r="E53" s="4">
        <f t="shared" si="1"/>
        <v>122675.97004765147</v>
      </c>
      <c r="G53"/>
      <c r="H53" s="39"/>
      <c r="I53" s="2"/>
      <c r="J53" s="2">
        <f t="shared" si="8"/>
        <v>84312.735794371052</v>
      </c>
      <c r="K53" s="4">
        <f t="shared" si="3"/>
        <v>102346.80929689779</v>
      </c>
      <c r="O53" s="2"/>
      <c r="P53" s="2">
        <f t="shared" si="9"/>
        <v>223365.84591913238</v>
      </c>
      <c r="Q53" s="4">
        <f t="shared" si="5"/>
        <v>122675.97004765147</v>
      </c>
    </row>
    <row r="54" spans="1:22" x14ac:dyDescent="0.25">
      <c r="A54" s="48">
        <v>2012</v>
      </c>
      <c r="C54" s="2">
        <v>2926.4</v>
      </c>
      <c r="D54" s="2">
        <f t="shared" si="7"/>
        <v>188564.14410394299</v>
      </c>
      <c r="E54" s="4">
        <f t="shared" si="1"/>
        <v>125563.30837304289</v>
      </c>
      <c r="G54"/>
      <c r="H54" s="39"/>
      <c r="I54" s="2"/>
      <c r="J54" s="2">
        <f t="shared" si="8"/>
        <v>87971.908527846754</v>
      </c>
      <c r="K54" s="4">
        <f t="shared" si="3"/>
        <v>104755.67441408148</v>
      </c>
      <c r="O54" s="2"/>
      <c r="P54" s="2">
        <f t="shared" si="9"/>
        <v>233059.92363202272</v>
      </c>
      <c r="Q54" s="4">
        <f t="shared" si="5"/>
        <v>125563.30837304289</v>
      </c>
    </row>
    <row r="55" spans="1:22" x14ac:dyDescent="0.25">
      <c r="A55" s="48">
        <v>2013</v>
      </c>
      <c r="C55" s="2">
        <v>2926.4</v>
      </c>
      <c r="D55" s="2">
        <f t="shared" si="7"/>
        <v>199674.22795805411</v>
      </c>
      <c r="E55" s="4">
        <f t="shared" si="1"/>
        <v>128450.6466984343</v>
      </c>
      <c r="G55"/>
      <c r="H55" s="39"/>
      <c r="I55" s="2"/>
      <c r="J55" s="2">
        <f t="shared" si="8"/>
        <v>91789.889357955297</v>
      </c>
      <c r="K55" s="4">
        <f t="shared" si="3"/>
        <v>107164.5395312652</v>
      </c>
      <c r="O55" s="2"/>
      <c r="P55" s="2">
        <f t="shared" si="9"/>
        <v>243174.72431765252</v>
      </c>
      <c r="Q55" s="4">
        <f t="shared" si="5"/>
        <v>128450.6466984343</v>
      </c>
    </row>
    <row r="56" spans="1:22" x14ac:dyDescent="0.25">
      <c r="A56" s="48">
        <v>2014</v>
      </c>
      <c r="C56" s="2">
        <v>2926.4</v>
      </c>
      <c r="D56" s="2">
        <f t="shared" si="7"/>
        <v>211266.48945143365</v>
      </c>
      <c r="E56" s="4">
        <f t="shared" si="1"/>
        <v>131337.98502382572</v>
      </c>
      <c r="G56"/>
      <c r="H56" s="39"/>
      <c r="I56" s="2"/>
      <c r="J56" s="2">
        <f t="shared" si="8"/>
        <v>95773.570556090563</v>
      </c>
      <c r="K56" s="4">
        <f t="shared" si="3"/>
        <v>109573.40464844889</v>
      </c>
      <c r="O56" s="2"/>
      <c r="P56" s="2">
        <f t="shared" si="9"/>
        <v>253728.50735303864</v>
      </c>
      <c r="Q56" s="4">
        <f t="shared" si="5"/>
        <v>131337.98502382572</v>
      </c>
    </row>
    <row r="57" spans="1:22" x14ac:dyDescent="0.25">
      <c r="A57" s="48">
        <v>2015</v>
      </c>
      <c r="C57" s="2">
        <v>2926.4</v>
      </c>
      <c r="D57" s="2">
        <f t="shared" si="7"/>
        <v>223361.85509362587</v>
      </c>
      <c r="E57" s="4">
        <f t="shared" si="1"/>
        <v>134225.32334921719</v>
      </c>
      <c r="G57"/>
      <c r="H57" s="39"/>
      <c r="I57" s="2"/>
      <c r="J57" s="2">
        <f t="shared" si="8"/>
        <v>99930.143518224897</v>
      </c>
      <c r="K57" s="4">
        <f t="shared" si="3"/>
        <v>111982.26976563261</v>
      </c>
      <c r="O57" s="2"/>
      <c r="P57" s="2">
        <f t="shared" si="9"/>
        <v>264740.32457216055</v>
      </c>
      <c r="Q57" s="4">
        <f t="shared" si="5"/>
        <v>134225.32334921719</v>
      </c>
    </row>
    <row r="58" spans="1:22" x14ac:dyDescent="0.25">
      <c r="A58" s="48">
        <v>2016</v>
      </c>
      <c r="C58" s="2">
        <v>2926.4</v>
      </c>
      <c r="D58" s="2">
        <f t="shared" si="7"/>
        <v>235982.15960468922</v>
      </c>
      <c r="E58" s="4">
        <f t="shared" si="1"/>
        <v>137112.66167460859</v>
      </c>
      <c r="G58"/>
      <c r="H58" s="39"/>
      <c r="I58" s="2"/>
      <c r="J58" s="2">
        <f t="shared" si="8"/>
        <v>104267.11174691586</v>
      </c>
      <c r="K58" s="4">
        <f t="shared" si="3"/>
        <v>114391.1348828163</v>
      </c>
      <c r="O58" s="2"/>
      <c r="P58" s="2">
        <f t="shared" si="9"/>
        <v>276230.05465859233</v>
      </c>
      <c r="Q58" s="4">
        <f t="shared" si="5"/>
        <v>137112.66167460859</v>
      </c>
    </row>
    <row r="59" spans="1:22" x14ac:dyDescent="0.25">
      <c r="A59" s="48">
        <v>2017</v>
      </c>
      <c r="C59" s="2">
        <v>3746.04</v>
      </c>
      <c r="D59" s="8">
        <f t="shared" si="7"/>
        <v>249969.82533153275</v>
      </c>
      <c r="E59" s="8">
        <f>F59*D13</f>
        <v>140000</v>
      </c>
      <c r="F59" s="2">
        <f>D14</f>
        <v>800</v>
      </c>
      <c r="G59" s="36"/>
      <c r="H59" s="39"/>
      <c r="I59" s="2"/>
      <c r="J59" s="8">
        <f t="shared" si="8"/>
        <v>108792.30439673201</v>
      </c>
      <c r="K59" s="9">
        <f>L59*$J$13</f>
        <v>116800</v>
      </c>
      <c r="L59" s="4">
        <f>F59</f>
        <v>800</v>
      </c>
      <c r="O59" s="2"/>
      <c r="P59" s="8">
        <f t="shared" si="9"/>
        <v>288218.43903077522</v>
      </c>
      <c r="Q59" s="8">
        <f>R59*P13</f>
        <v>140000</v>
      </c>
      <c r="R59" s="2">
        <f>P14</f>
        <v>800</v>
      </c>
      <c r="V59" s="7"/>
    </row>
    <row r="60" spans="1:22" x14ac:dyDescent="0.25">
      <c r="A60" s="48">
        <v>2018</v>
      </c>
      <c r="C60" s="2">
        <v>3746.04</v>
      </c>
      <c r="D60" s="2">
        <f t="shared" si="7"/>
        <v>264564.55575092125</v>
      </c>
      <c r="E60" s="4">
        <f t="shared" ref="E60:E68" si="10">E$19+($A60-$A$19)*(E$59-E$19)/($A$59-$A$19)</f>
        <v>142887.33832539144</v>
      </c>
      <c r="F60" s="53" t="s">
        <v>9</v>
      </c>
      <c r="G60"/>
      <c r="H60" s="39"/>
      <c r="I60" s="2"/>
      <c r="J60" s="2">
        <f t="shared" si="8"/>
        <v>113513.89040755018</v>
      </c>
      <c r="K60" s="4">
        <f t="shared" ref="K60:K76" si="11">K$19+($A60-$A$19)*(K$59-K$19)/($A$59-$A$19)</f>
        <v>119208.8651171837</v>
      </c>
      <c r="L60" s="53" t="s">
        <v>9</v>
      </c>
      <c r="O60" s="2"/>
      <c r="P60" s="2">
        <f t="shared" si="9"/>
        <v>300727.11928471085</v>
      </c>
      <c r="Q60" s="4">
        <f t="shared" ref="Q60:Q68" si="12">Q$19+($A60-$A$19)*(Q$59-Q$19)/($A$59-$A$19)</f>
        <v>142887.33832539144</v>
      </c>
      <c r="R60" s="55" t="s">
        <v>9</v>
      </c>
    </row>
    <row r="61" spans="1:22" x14ac:dyDescent="0.25">
      <c r="A61" s="48">
        <v>2019</v>
      </c>
      <c r="C61" s="2">
        <v>3746.04</v>
      </c>
      <c r="D61" s="2">
        <f t="shared" si="7"/>
        <v>279792.69747051119</v>
      </c>
      <c r="E61" s="4">
        <f t="shared" si="10"/>
        <v>145774.67665078284</v>
      </c>
      <c r="F61" s="16"/>
      <c r="G61"/>
      <c r="H61" s="39"/>
      <c r="I61" s="2"/>
      <c r="J61" s="2">
        <f t="shared" si="8"/>
        <v>118440.39325123785</v>
      </c>
      <c r="K61" s="4">
        <f t="shared" si="11"/>
        <v>121617.73023436741</v>
      </c>
      <c r="O61" s="2"/>
      <c r="P61" s="2">
        <f t="shared" si="9"/>
        <v>313778.67626166728</v>
      </c>
      <c r="Q61" s="4">
        <f t="shared" si="12"/>
        <v>145774.67665078284</v>
      </c>
      <c r="R61" s="16"/>
      <c r="S61" s="16"/>
    </row>
    <row r="62" spans="1:22" x14ac:dyDescent="0.25">
      <c r="A62" s="48">
        <v>2020</v>
      </c>
      <c r="C62" s="2">
        <v>3746.04</v>
      </c>
      <c r="D62" s="2">
        <f t="shared" si="7"/>
        <v>295681.74054073135</v>
      </c>
      <c r="E62" s="4">
        <f t="shared" si="10"/>
        <v>148662.01497617428</v>
      </c>
      <c r="G62"/>
      <c r="H62" s="39"/>
      <c r="I62" s="2"/>
      <c r="J62" s="2">
        <f t="shared" si="8"/>
        <v>123580.70631834157</v>
      </c>
      <c r="K62" s="4">
        <f t="shared" si="11"/>
        <v>124026.59535155111</v>
      </c>
      <c r="O62" s="2"/>
      <c r="P62" s="2">
        <f t="shared" si="9"/>
        <v>327396.67081142362</v>
      </c>
      <c r="Q62" s="4">
        <f t="shared" si="12"/>
        <v>148662.01497617428</v>
      </c>
    </row>
    <row r="63" spans="1:22" x14ac:dyDescent="0.25">
      <c r="A63" s="48">
        <v>2021</v>
      </c>
      <c r="C63" s="2">
        <v>3746.04</v>
      </c>
      <c r="D63" s="2">
        <f t="shared" si="7"/>
        <v>312260.36808019906</v>
      </c>
      <c r="E63" s="4">
        <f t="shared" si="10"/>
        <v>151549.35330156569</v>
      </c>
      <c r="G63"/>
      <c r="H63" s="39"/>
      <c r="I63" s="2"/>
      <c r="J63" s="2">
        <f t="shared" si="8"/>
        <v>128944.1089725576</v>
      </c>
      <c r="K63" s="4">
        <f t="shared" si="11"/>
        <v>126435.4604687348</v>
      </c>
      <c r="O63" s="2"/>
      <c r="P63" s="2">
        <f t="shared" si="9"/>
        <v>341605.68632463942</v>
      </c>
      <c r="Q63" s="4">
        <f t="shared" si="12"/>
        <v>151549.35330156569</v>
      </c>
    </row>
    <row r="64" spans="1:22" x14ac:dyDescent="0.25">
      <c r="A64" s="48">
        <v>2022</v>
      </c>
      <c r="C64" s="2">
        <v>3746.04</v>
      </c>
      <c r="D64" s="2">
        <f t="shared" si="7"/>
        <v>329558.50805487967</v>
      </c>
      <c r="E64" s="4">
        <f t="shared" si="10"/>
        <v>154436.69162695709</v>
      </c>
      <c r="G64"/>
      <c r="H64" s="39"/>
      <c r="I64" s="2"/>
      <c r="J64" s="2">
        <f t="shared" si="8"/>
        <v>134540.28330196661</v>
      </c>
      <c r="K64" s="4">
        <f t="shared" si="11"/>
        <v>128844.3255859185</v>
      </c>
      <c r="O64" s="2"/>
      <c r="P64" s="2">
        <f t="shared" si="9"/>
        <v>356431.37311112875</v>
      </c>
      <c r="Q64" s="4">
        <f t="shared" si="12"/>
        <v>154436.69162695709</v>
      </c>
    </row>
    <row r="65" spans="1:22" x14ac:dyDescent="0.25">
      <c r="A65" s="48">
        <v>2023</v>
      </c>
      <c r="C65" s="2">
        <v>3746.04</v>
      </c>
      <c r="D65" s="2">
        <f t="shared" si="7"/>
        <v>347607.38730446144</v>
      </c>
      <c r="E65" s="4">
        <f t="shared" si="10"/>
        <v>157324.02995234856</v>
      </c>
      <c r="G65"/>
      <c r="H65" s="39"/>
      <c r="I65" s="2"/>
      <c r="J65" s="2">
        <f t="shared" si="8"/>
        <v>140379.33159727196</v>
      </c>
      <c r="K65" s="4">
        <f t="shared" si="11"/>
        <v>131253.19070310221</v>
      </c>
      <c r="O65" s="2"/>
      <c r="P65" s="2">
        <f t="shared" si="9"/>
        <v>371900.49470415176</v>
      </c>
      <c r="Q65" s="4">
        <f t="shared" si="12"/>
        <v>157324.02995234856</v>
      </c>
    </row>
    <row r="66" spans="1:22" x14ac:dyDescent="0.25">
      <c r="A66" s="48">
        <v>2024</v>
      </c>
      <c r="C66" s="2">
        <v>3746.04</v>
      </c>
      <c r="D66" s="2">
        <f t="shared" si="7"/>
        <v>366439.58791347506</v>
      </c>
      <c r="E66" s="4">
        <f t="shared" si="10"/>
        <v>160211.36827773997</v>
      </c>
      <c r="G66"/>
      <c r="H66" s="39"/>
      <c r="I66" s="2"/>
      <c r="J66" s="2">
        <f t="shared" si="8"/>
        <v>146471.79458859356</v>
      </c>
      <c r="K66" s="4">
        <f t="shared" si="11"/>
        <v>133662.05582028592</v>
      </c>
      <c r="O66" s="2"/>
      <c r="P66" s="2">
        <f t="shared" si="9"/>
        <v>388040.97617431195</v>
      </c>
      <c r="Q66" s="4">
        <f t="shared" si="12"/>
        <v>160211.36827773997</v>
      </c>
    </row>
    <row r="67" spans="1:22" x14ac:dyDescent="0.25">
      <c r="A67" s="48">
        <v>2025</v>
      </c>
      <c r="C67" s="2">
        <v>3746.04</v>
      </c>
      <c r="D67" s="2">
        <f t="shared" si="7"/>
        <v>386089.10602891986</v>
      </c>
      <c r="E67" s="4">
        <f t="shared" si="10"/>
        <v>163098.70660313137</v>
      </c>
      <c r="G67"/>
      <c r="H67" s="39"/>
      <c r="I67" s="2"/>
      <c r="J67" s="2">
        <f t="shared" si="8"/>
        <v>152828.67047373852</v>
      </c>
      <c r="K67" s="4">
        <f t="shared" si="11"/>
        <v>136070.92093746961</v>
      </c>
      <c r="O67" s="2"/>
      <c r="P67" s="2">
        <f t="shared" si="9"/>
        <v>404881.95454027707</v>
      </c>
      <c r="Q67" s="4">
        <f t="shared" si="12"/>
        <v>163098.70660313137</v>
      </c>
    </row>
    <row r="68" spans="1:22" x14ac:dyDescent="0.25">
      <c r="A68" s="48">
        <v>2026</v>
      </c>
      <c r="C68" s="2">
        <v>3746.04</v>
      </c>
      <c r="D68" s="2">
        <f t="shared" si="7"/>
        <v>406591.41323057498</v>
      </c>
      <c r="E68" s="4">
        <f t="shared" si="10"/>
        <v>165986.04492852278</v>
      </c>
      <c r="G68"/>
      <c r="H68" s="39"/>
      <c r="I68" s="2"/>
      <c r="J68" s="2">
        <f t="shared" si="8"/>
        <v>159461.43477229876</v>
      </c>
      <c r="K68" s="4">
        <f t="shared" si="11"/>
        <v>138479.78605465329</v>
      </c>
      <c r="O68" s="2"/>
      <c r="P68" s="2">
        <f t="shared" si="9"/>
        <v>422453.8313673251</v>
      </c>
      <c r="Q68" s="4">
        <f t="shared" si="12"/>
        <v>165986.04492852278</v>
      </c>
    </row>
    <row r="69" spans="1:22" x14ac:dyDescent="0.25">
      <c r="A69" s="48">
        <v>2027</v>
      </c>
      <c r="C69" s="2"/>
      <c r="D69" s="8">
        <f t="shared" si="7"/>
        <v>424237.48056478193</v>
      </c>
      <c r="E69" s="8">
        <f>F69*D13</f>
        <v>168873.38325391422</v>
      </c>
      <c r="F69" s="2">
        <f>F59+(A69-A59)*(F59-F19)/(A59-A19)</f>
        <v>964.99076145093841</v>
      </c>
      <c r="G69" s="34"/>
      <c r="H69" s="39"/>
      <c r="I69" s="2"/>
      <c r="J69" s="2">
        <f t="shared" si="8"/>
        <v>166382.06104141651</v>
      </c>
      <c r="K69" s="4">
        <f t="shared" si="11"/>
        <v>140888.651171837</v>
      </c>
      <c r="O69" s="2"/>
      <c r="P69" s="8">
        <f t="shared" si="9"/>
        <v>440788.32764866698</v>
      </c>
      <c r="Q69" s="8">
        <f>R69*P13</f>
        <v>168873.38325391422</v>
      </c>
      <c r="R69" s="2">
        <f>F69</f>
        <v>964.99076145093841</v>
      </c>
      <c r="V69" s="7"/>
    </row>
    <row r="70" spans="1:22" x14ac:dyDescent="0.25">
      <c r="A70" s="48">
        <v>2028</v>
      </c>
      <c r="D70" s="2"/>
      <c r="F70" s="56" t="s">
        <v>8</v>
      </c>
      <c r="G70"/>
      <c r="H70" s="39"/>
      <c r="I70" s="2"/>
      <c r="J70" s="2">
        <f t="shared" si="8"/>
        <v>173603.042490614</v>
      </c>
      <c r="K70" s="4">
        <f t="shared" si="11"/>
        <v>143297.51628902071</v>
      </c>
      <c r="P70" s="2"/>
      <c r="Q70" s="6"/>
      <c r="R70" s="54" t="s">
        <v>8</v>
      </c>
    </row>
    <row r="71" spans="1:22" x14ac:dyDescent="0.25">
      <c r="A71" s="48">
        <v>2029</v>
      </c>
      <c r="G71"/>
      <c r="H71" s="39"/>
      <c r="I71" s="2"/>
      <c r="J71" s="2">
        <f t="shared" si="8"/>
        <v>181137.41453470665</v>
      </c>
      <c r="K71" s="4">
        <f t="shared" si="11"/>
        <v>145706.38140620443</v>
      </c>
      <c r="P71" s="2"/>
    </row>
    <row r="72" spans="1:22" x14ac:dyDescent="0.25">
      <c r="A72" s="48">
        <v>2030</v>
      </c>
      <c r="G72"/>
      <c r="H72" s="39"/>
      <c r="I72" s="2"/>
      <c r="J72" s="2">
        <f t="shared" si="8"/>
        <v>188998.77832551292</v>
      </c>
      <c r="K72" s="4">
        <f t="shared" si="11"/>
        <v>148115.24652338811</v>
      </c>
      <c r="P72" s="2"/>
    </row>
    <row r="73" spans="1:22" x14ac:dyDescent="0.25">
      <c r="A73" s="48">
        <v>2031</v>
      </c>
      <c r="G73"/>
      <c r="H73" s="39"/>
      <c r="I73" s="2"/>
      <c r="J73" s="2">
        <f t="shared" si="8"/>
        <v>197201.32530484017</v>
      </c>
      <c r="K73" s="4">
        <f t="shared" si="11"/>
        <v>150524.11164057185</v>
      </c>
      <c r="P73" s="2"/>
    </row>
    <row r="74" spans="1:22" x14ac:dyDescent="0.25">
      <c r="A74" s="48">
        <v>2032</v>
      </c>
      <c r="G74"/>
      <c r="H74" s="39"/>
      <c r="I74" s="2"/>
      <c r="J74" s="2">
        <f t="shared" si="8"/>
        <v>205759.86282307023</v>
      </c>
      <c r="K74" s="4">
        <f t="shared" si="11"/>
        <v>152932.9767577555</v>
      </c>
      <c r="P74" s="2"/>
    </row>
    <row r="75" spans="1:22" x14ac:dyDescent="0.25">
      <c r="A75" s="48">
        <v>2033</v>
      </c>
      <c r="G75"/>
      <c r="H75" s="39"/>
      <c r="I75" s="2"/>
      <c r="J75" s="2">
        <f t="shared" si="8"/>
        <v>214689.84086959148</v>
      </c>
      <c r="K75" s="4">
        <f t="shared" si="11"/>
        <v>155341.84187493921</v>
      </c>
      <c r="P75" s="2"/>
    </row>
    <row r="76" spans="1:22" x14ac:dyDescent="0.25">
      <c r="A76" s="48">
        <v>2034</v>
      </c>
      <c r="G76"/>
      <c r="H76" s="39"/>
      <c r="I76" s="2"/>
      <c r="J76" s="2">
        <f t="shared" si="8"/>
        <v>224007.37996333174</v>
      </c>
      <c r="K76" s="4">
        <f t="shared" si="11"/>
        <v>157750.70699212293</v>
      </c>
      <c r="P76" s="2"/>
    </row>
    <row r="77" spans="1:22" x14ac:dyDescent="0.25">
      <c r="A77" s="48">
        <v>2035</v>
      </c>
      <c r="F77" s="4">
        <f>F59+(A77-A59)*(F59-F19)/(A59-A19)</f>
        <v>1096.9833706116892</v>
      </c>
      <c r="G77"/>
      <c r="H77" s="39"/>
      <c r="I77" s="2"/>
      <c r="J77" s="8">
        <f t="shared" si="8"/>
        <v>233729.30025374034</v>
      </c>
      <c r="K77" s="9">
        <f>L77*$J$13</f>
        <v>160159.57210930664</v>
      </c>
      <c r="L77" s="4">
        <f>F77</f>
        <v>1096.9833706116892</v>
      </c>
      <c r="P77" s="2"/>
      <c r="R77" s="4">
        <f>F77</f>
        <v>1096.9833706116892</v>
      </c>
    </row>
    <row r="78" spans="1:22" x14ac:dyDescent="0.25">
      <c r="A78" s="48">
        <v>2036</v>
      </c>
      <c r="G78" s="34"/>
      <c r="H78" s="39"/>
      <c r="L78" s="57" t="s">
        <v>8</v>
      </c>
    </row>
    <row r="79" spans="1:22" x14ac:dyDescent="0.25">
      <c r="G79" s="34"/>
      <c r="H79" s="39"/>
    </row>
    <row r="80" spans="1:22" x14ac:dyDescent="0.25">
      <c r="G80" s="34"/>
      <c r="H80" s="39"/>
    </row>
    <row r="81" spans="7:8" x14ac:dyDescent="0.25">
      <c r="G81" s="34"/>
      <c r="H81" s="39"/>
    </row>
    <row r="82" spans="7:8" x14ac:dyDescent="0.25">
      <c r="G82" s="34"/>
      <c r="H82" s="39"/>
    </row>
    <row r="83" spans="7:8" x14ac:dyDescent="0.25">
      <c r="G83" s="34"/>
      <c r="H83" s="39"/>
    </row>
    <row r="84" spans="7:8" x14ac:dyDescent="0.25">
      <c r="G84" s="34"/>
      <c r="H84" s="39"/>
    </row>
    <row r="85" spans="7:8" x14ac:dyDescent="0.25">
      <c r="G85" s="34"/>
      <c r="H85" s="39"/>
    </row>
    <row r="86" spans="7:8" x14ac:dyDescent="0.25">
      <c r="G86" s="34"/>
      <c r="H86" s="3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Voorbeeld berekeningen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danielo sijtsma</dc:creator>
  <cp:lastModifiedBy>Sijtsma, Danielo</cp:lastModifiedBy>
  <cp:lastPrinted>2005-06-21T07:54:21Z</cp:lastPrinted>
  <dcterms:created xsi:type="dcterms:W3CDTF">2005-06-14T13:27:57Z</dcterms:created>
  <dcterms:modified xsi:type="dcterms:W3CDTF">2017-03-07T14:46:44Z</dcterms:modified>
</cp:coreProperties>
</file>